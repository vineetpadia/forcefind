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1c42148bf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20a4e0cafff4aa7"/>
    <x:sheet xmlns:r="http://schemas.openxmlformats.org/officeDocument/2006/relationships" name="Confirmed Manufacturers" sheetId="2" r:id="Rcb90f3770fda45ab"/>
    <x:sheet xmlns:r="http://schemas.openxmlformats.org/officeDocument/2006/relationships" name="Needs Verification" sheetId="3" r:id="R3dee6001b8e24f13"/>
    <x:sheet xmlns:r="http://schemas.openxmlformats.org/officeDocument/2006/relationships" name="Excluded - Non-Makers" sheetId="4" r:id="R6b34d380cb414394"/>
    <x:sheet xmlns:r="http://schemas.openxmlformats.org/officeDocument/2006/relationships" name="Methodology" sheetId="5" r:id="R8bea54400e61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24"/>
      <x:color rgb="FF17365D"/>
      <x:name val="Carlito"/>
    </x:font>
    <x:font>
      <x:b/>
      <x:sz val="11"/>
      <x:color rgb="FF9C000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44A73"/>
      </x:patternFill>
    </x:fill>
    <x:fill>
      <x:patternFill patternType="solid">
        <x:fgColor rgb="FFF4F7FA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201" fontId="6" fillId="5" borderId="1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201" fontId="6" fillId="7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201" fontId="6" fillId="7" borderId="1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201" fontId="6" fillId="8" borderId="0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201" fontId="6" fillId="8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left"/>
    </x:xf>
    <x:xf numFmtId="0" fontId="8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left"/>
    </x:xf>
    <x:xf numFmtId="0" fontId="8" fillId="6" borderId="1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left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horizontal="left" wrapText="1"/>
    </x:xf>
    <x:xf numFmtId="0" fontId="6" fillId="9" borderId="1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5" fillId="4" borderId="1" xfId="0" applyNumberFormat="1" applyFont="1" applyFill="1" applyBorder="1" applyAlignment="1">
      <x:alignment horizontal="left"/>
    </x:xf>
    <x:xf numFmtId="0" fontId="5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left" wrapText="1"/>
    </x:xf>
    <x:xf numFmtId="0" fontId="6" fillId="5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17c96273f4185" /><Relationship Type="http://schemas.openxmlformats.org/officeDocument/2006/relationships/theme" Target="/xl/theme/theme1.xml" Id="R38f09967191d42f4" /><Relationship Type="http://schemas.openxmlformats.org/officeDocument/2006/relationships/sharedStrings" Target="/xl/sharedStrings.xml" Id="Rb22d672819664465" /><Relationship Type="http://schemas.openxmlformats.org/officeDocument/2006/relationships/worksheet" Target="/xl/worksheets/sheet1.xml" Id="R220a4e0cafff4aa7" /><Relationship Type="http://schemas.openxmlformats.org/officeDocument/2006/relationships/worksheet" Target="/xl/worksheets/sheet2.xml" Id="Rcb90f3770fda45ab" /><Relationship Type="http://schemas.openxmlformats.org/officeDocument/2006/relationships/worksheet" Target="/xl/worksheets/sheet3.xml" Id="R3dee6001b8e24f13" /><Relationship Type="http://schemas.openxmlformats.org/officeDocument/2006/relationships/worksheet" Target="/xl/worksheets/sheet4.xml" Id="R6b34d380cb414394" /><Relationship Type="http://schemas.openxmlformats.org/officeDocument/2006/relationships/worksheet" Target="/xl/worksheets/sheet5.xml" Id="R8bea54400e6146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c6971479404a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Confirmed manufacturers by region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Confirmed count</c:v>
          </c:tx>
          <c:cat>
            <c:strRef>
              <c:f>'Overview'!$A$10:$A$16</c:f>
              <c:strCache>
                <c:ptCount val="0"/>
              </c:strCache>
            </c:strRef>
          </c:cat>
          <c:val>
            <c:numRef>
              <c:f>'Overview'!$B$10:$B$16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c6971479404af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firmedMakersTable" displayName="ConfirmedMakersTable" ref="A4:N147" headerRowCount="1">
  <x:tableColumns count="14">
    <x:tableColumn id="1" name="Manufacturer / operating entity"/>
    <x:tableColumn id="2" name="Parent group"/>
    <x:tableColumn id="3" name="Brands / legacy lines"/>
    <x:tableColumn id="4" name="HQ country"/>
    <x:tableColumn id="5" name="Region"/>
    <x:tableColumn id="6" name="Segment"/>
    <x:tableColumn id="7" name="Sensor technology"/>
    <x:tableColumn id="8" name="Product scope"/>
    <x:tableColumn id="9" name="Evidence grade"/>
    <x:tableColumn id="10" name="Evidence summary"/>
    <x:tableColumn id="11" name="Official source URL"/>
    <x:tableColumn id="12" name="Certificate / second source"/>
    <x:tableColumn id="13" name="White-label / consolidation note"/>
    <x:tableColumn id="14" name="Checked date"/>
  </x:tableColumns>
  <x:tableStyleInfo name="TableStyleMedium2" showRowStripes="1"/>
</x:table>
</file>

<file path=xl/tables/table2.xml><?xml version="1.0" encoding="utf-8"?>
<x:table xmlns:x="http://schemas.openxmlformats.org/spreadsheetml/2006/main" id="2" name="VerificationQueueTable" displayName="VerificationQueueTable" ref="A4:H54" headerRowCount="1">
  <x:tableColumns count="8">
    <x:tableColumn id="1" name="Organization / brand"/>
    <x:tableColumn id="2" name="HQ country"/>
    <x:tableColumn id="3" name="Why it appears relevant"/>
    <x:tableColumn id="4" name="Why not yet confirmed as an independent sensor manufacturer"/>
    <x:tableColumn id="5" name="Best public source"/>
    <x:tableColumn id="6" name="Recommended verification step"/>
    <x:tableColumn id="7" name="Status"/>
    <x:tableColumn id="8" name="Checked date"/>
  </x:tableColumns>
  <x:tableStyleInfo name="TableStyleMedium2" showRowStripes="1"/>
</x:table>
</file>

<file path=xl/tables/table3.xml><?xml version="1.0" encoding="utf-8"?>
<x:table xmlns:x="http://schemas.openxmlformats.org/spreadsheetml/2006/main" id="3" name="ExcludedOrganizationsTable" displayName="ExcludedOrganizationsTable" ref="A4:G28" headerRowCount="1">
  <x:tableColumns count="7">
    <x:tableColumn id="1" name="Organization"/>
    <x:tableColumn id="2" name="Country / market"/>
    <x:tableColumn id="3" name="Observed role"/>
    <x:tableColumn id="4" name="Why excluded from manufacturer list"/>
    <x:tableColumn id="5" name="Source"/>
    <x:tableColumn id="6" name="Classification"/>
    <x:tableColumn id="7" name="Checked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0435853b8747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3b305904294a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188ba2460743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972735490041b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5" hidden="0" customWidth="1"/>
    <x:col min="4" max="4" width="20" hidden="0" customWidth="1"/>
    <x:col min="5" max="5" width="16" hidden="0" customWidth="1"/>
    <x:col min="6" max="6" width="5" hidden="0" customWidth="1"/>
    <x:col min="7" max="7" width="20" hidden="0" customWidth="1"/>
    <x:col min="8" max="8" width="16" hidden="0" customWidth="1"/>
    <x:col min="9" max="9" width="5" hidden="0" customWidth="1"/>
    <x:col min="10" max="10" width="18" hidden="0" customWidth="1"/>
  </x:cols>
  <x:sheetData>
    <x:row r="1" ht="34" customHeight="1">
      <x:c r="A1" s="5" t="str">
        <x:v>Global Load-Cell Manufacturer Audit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An evidence-filtered database of organizations that develop the force-sensing element—not a vendor or distributor directory.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25" customHeight="1">
      <x:c r="A4" s="57" t="str">
        <x:v>Confirmed manufacturers</x:v>
      </x:c>
      <x:c r="B4" s="57"/>
      <x:c r="D4" s="57" t="str">
        <x:v>Needs verification</x:v>
      </x:c>
      <x:c r="E4" s="57"/>
      <x:c r="G4" s="57" t="str">
        <x:v>Excluded false positives</x:v>
      </x:c>
      <x:c r="H4" s="57"/>
    </x:row>
    <x:row r="5">
      <x:c r="A5" s="62" t="n">
        <x:f>COUNTA('Confirmed Manufacturers'!A5:A147)</x:f>
        <x:v>143</x:v>
      </x:c>
      <x:c r="B5" s="62"/>
      <x:c r="D5" s="62" t="n">
        <x:f>COUNTA('Needs Verification'!A5:A54)</x:f>
        <x:v>50</x:v>
      </x:c>
      <x:c r="E5" s="62"/>
      <x:c r="G5" s="62" t="n">
        <x:f>COUNTA('Excluded - Non-Makers'!A5:A28)</x:f>
        <x:v>24</x:v>
      </x:c>
      <x:c r="H5" s="62"/>
    </x:row>
    <x:row r="6">
      <x:c r="A6" s="62"/>
      <x:c r="B6" s="62"/>
      <x:c r="D6" s="62"/>
      <x:c r="E6" s="62"/>
      <x:c r="G6" s="62"/>
      <x:c r="H6" s="62"/>
    </x:row>
    <x:row r="9" ht="24" customHeight="1">
      <x:c r="A9" s="44" t="str">
        <x:v>Region</x:v>
      </x:c>
      <x:c r="B9" s="44" t="str">
        <x:v>Confirmed count</x:v>
      </x:c>
      <x:c r="C9" s="44" t="str">
        <x:v>Share</x:v>
      </x:c>
    </x:row>
    <x:row r="10" ht="23" customHeight="1">
      <x:c r="A10" s="74" t="str">
        <x:v>North America</x:v>
      </x:c>
      <x:c r="B10" s="74" t="n">
        <x:f>COUNTIF('Confirmed Manufacturers'!$E$5:$E$147,A10)</x:f>
        <x:v>40</x:v>
      </x:c>
      <x:c r="C10" s="75" t="n">
        <x:f>B10/$A$5</x:f>
        <x:v>0.27972027972027974</x:v>
      </x:c>
    </x:row>
    <x:row r="11" ht="23" customHeight="1">
      <x:c r="A11" s="69" t="str">
        <x:v>Europe</x:v>
      </x:c>
      <x:c r="B11" s="69" t="n">
        <x:f>COUNTIF('Confirmed Manufacturers'!$E$5:$E$147,A11)</x:f>
        <x:v>48</x:v>
      </x:c>
      <x:c r="C11" s="70" t="n">
        <x:f>B11/$A$5</x:f>
        <x:v>0.3356643356643357</x:v>
      </x:c>
    </x:row>
    <x:row r="12" ht="23" customHeight="1">
      <x:c r="A12" s="74" t="str">
        <x:v>Europe / West Asia</x:v>
      </x:c>
      <x:c r="B12" s="74" t="n">
        <x:f>COUNTIF('Confirmed Manufacturers'!$E$5:$E$147,A12)</x:f>
        <x:v>3</x:v>
      </x:c>
      <x:c r="C12" s="75" t="n">
        <x:f>B12/$A$5</x:f>
        <x:v>0.02097902097902098</x:v>
      </x:c>
    </x:row>
    <x:row r="13" ht="23" customHeight="1">
      <x:c r="A13" s="69" t="str">
        <x:v>East Asia</x:v>
      </x:c>
      <x:c r="B13" s="69" t="n">
        <x:f>COUNTIF('Confirmed Manufacturers'!$E$5:$E$147,A13)</x:f>
        <x:v>38</x:v>
      </x:c>
      <x:c r="C13" s="70" t="n">
        <x:f>B13/$A$5</x:f>
        <x:v>0.26573426573426573</x:v>
      </x:c>
    </x:row>
    <x:row r="14" ht="23" customHeight="1">
      <x:c r="A14" s="74" t="str">
        <x:v>South Asia</x:v>
      </x:c>
      <x:c r="B14" s="74" t="n">
        <x:f>COUNTIF('Confirmed Manufacturers'!$E$5:$E$147,A14)</x:f>
        <x:v>8</x:v>
      </x:c>
      <x:c r="C14" s="75" t="n">
        <x:f>B14/$A$5</x:f>
        <x:v>0.055944055944055944</x:v>
      </x:c>
    </x:row>
    <x:row r="15" ht="23" customHeight="1">
      <x:c r="A15" s="69" t="str">
        <x:v>Latin America</x:v>
      </x:c>
      <x:c r="B15" s="69" t="n">
        <x:f>COUNTIF('Confirmed Manufacturers'!$E$5:$E$147,A15)</x:f>
        <x:v>3</x:v>
      </x:c>
      <x:c r="C15" s="70" t="n">
        <x:f>B15/$A$5</x:f>
        <x:v>0.02097902097902098</x:v>
      </x:c>
    </x:row>
    <x:row r="16" ht="23" customHeight="1">
      <x:c r="A16" s="74" t="str">
        <x:v>Global</x:v>
      </x:c>
      <x:c r="B16" s="74" t="n">
        <x:f>COUNTIF('Confirmed Manufacturers'!$E$5:$E$147,A16)</x:f>
        <x:v>3</x:v>
      </x:c>
      <x:c r="C16" s="75" t="n">
        <x:f>B16/$A$5</x:f>
        <x:v>0.02097902097902098</x:v>
      </x:c>
    </x:row>
    <x:row r="20" ht="24" customHeight="1">
      <x:c r="A20" s="44" t="str">
        <x:v>Evidence grade</x:v>
      </x:c>
      <x:c r="B20" s="44" t="str">
        <x:v>Meaning</x:v>
      </x:c>
      <x:c r="C20" s="44" t="str">
        <x:v>Count</x:v>
      </x:c>
      <x:c r="D20" s="44" t="str">
        <x:v>Share</x:v>
      </x:c>
    </x:row>
    <x:row r="21" ht="50" customHeight="1">
      <x:c r="A21" s="84" t="str">
        <x:v>A</x:v>
      </x:c>
      <x:c r="B21" s="84" t="str">
        <x:v>Explicit first-party design/manufacture evidence</x:v>
      </x:c>
      <x:c r="C21" s="84" t="n">
        <x:f>COUNTIF('Confirmed Manufacturers'!$I$5:$I$147,A21)</x:f>
        <x:v>137</x:v>
      </x:c>
      <x:c r="D21" s="85" t="n">
        <x:f>C21/$A$5</x:f>
        <x:v>0.958041958041958</x:v>
      </x:c>
    </x:row>
    <x:row r="22" ht="50" customHeight="1">
      <x:c r="A22" s="88" t="str">
        <x:v>B</x:v>
      </x:c>
      <x:c r="B22" s="88" t="str">
        <x:v>Strong manufacturer certificate or equivalent evidence</x:v>
      </x:c>
      <x:c r="C22" s="88" t="n">
        <x:f>COUNTIF('Confirmed Manufacturers'!$I$5:$I$147,A22)</x:f>
        <x:v>6</x:v>
      </x:c>
      <x:c r="D22" s="89" t="n">
        <x:f>C22/$A$5</x:f>
        <x:v>0.04195804195804196</x:v>
      </x:c>
    </x:row>
    <x:row r="26" ht="23" customHeight="1">
      <x:c r="A26" s="95" t="str">
        <x:v>Important limit</x:v>
      </x:c>
      <x:c r="B26" s="95"/>
      <x:c r="C26" s="95"/>
      <x:c r="D26" s="95"/>
      <x:c r="E26" s="95"/>
      <x:c r="F26" s="95"/>
      <x:c r="G26" s="95"/>
      <x:c r="H26" s="95"/>
      <x:c r="I26" s="95"/>
      <x:c r="J26" s="95"/>
    </x:row>
    <x:row r="27">
      <x:c r="A27" s="104" t="str">
        <x:v>No public directory can prove every load-cell factory worldwide. This workbook is exhaustive only within the set of publicly identifiable organizations for which in-house sensor development or legal-manufacturer status could be substantiated. Private contract factories, captive defense/aerospace programs and undisclosed OEM arrangements can remain invisible.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2" ht="24" customHeight="1">
      <x:c r="A32" s="111" t="str">
        <x:v>How to use the workbook</x:v>
      </x:c>
      <x:c r="B32" s="111"/>
      <x:c r="C32" s="111"/>
      <x:c r="D32" s="111"/>
      <x:c r="E32" s="111"/>
      <x:c r="F32" s="111"/>
      <x:c r="G32" s="111"/>
      <x:c r="H32" s="111"/>
      <x:c r="I32" s="111"/>
      <x:c r="J32" s="111"/>
    </x:row>
    <x:row r="33">
      <x:c r="A33" s="118" t="str">
        <x:v>Start with Confirmed Manufacturers and filter by region, segment or technology. Use Needs Verification when vetting a supplier that claims to manufacture. Use Excluded - Non-Makers to avoid common distributor and private-label false positives. The Methodology sheet gives the inclusion test and evidence grades.</x:v>
      </x:c>
      <x:c r="B33" s="118"/>
      <x:c r="C33" s="118"/>
      <x:c r="D33" s="118"/>
      <x:c r="E33" s="118"/>
      <x:c r="F33" s="118"/>
      <x:c r="G33" s="118"/>
      <x:c r="H33" s="118"/>
      <x:c r="I33" s="118"/>
      <x:c r="J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  <x:c r="I34" s="118"/>
      <x:c r="J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  <x:c r="I35" s="118"/>
      <x:c r="J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  <x:c r="I36" s="118"/>
      <x:c r="J36" s="118"/>
    </x:row>
  </x:sheetData>
  <x:mergeCells>
    <x:mergeCell ref="A1:J1"/>
    <x:mergeCell ref="A2:J2"/>
    <x:mergeCell ref="A4:B4"/>
    <x:mergeCell ref="A5:B6"/>
    <x:mergeCell ref="D4:E4"/>
    <x:mergeCell ref="D5:E6"/>
    <x:mergeCell ref="G4:H4"/>
    <x:mergeCell ref="G5:H6"/>
    <x:mergeCell ref="A26:J26"/>
    <x:mergeCell ref="A27:J29"/>
    <x:mergeCell ref="A32:J32"/>
    <x:mergeCell ref="A33:J36"/>
  </x:mergeCells>
  <x:pageMargins left="0.7" right="0.7" top="0.75" bottom="0.75" header="0.3" footer="0.3"/>
  <x:drawing xmlns:r="http://schemas.openxmlformats.org/officeDocument/2006/relationships" r:id="Rc70435853b8747ec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0" hidden="0" customWidth="1"/>
    <x:col min="3" max="3" width="28" hidden="0" customWidth="1"/>
    <x:col min="4" max="4" width="16" hidden="0" customWidth="1"/>
    <x:col min="5" max="5" width="17" hidden="0" customWidth="1"/>
    <x:col min="6" max="6" width="28" hidden="0" customWidth="1"/>
    <x:col min="7" max="7" width="22" hidden="0" customWidth="1"/>
    <x:col min="8" max="8" width="38" hidden="0" customWidth="1"/>
    <x:col min="9" max="9" width="12" hidden="0" customWidth="1"/>
    <x:col min="10" max="10" width="52" hidden="0" customWidth="1"/>
    <x:col min="11" max="11" width="40" hidden="0" customWidth="1"/>
    <x:col min="12" max="12" width="40" hidden="0" customWidth="1"/>
    <x:col min="13" max="13" width="38" hidden="0" customWidth="1"/>
    <x:col min="14" max="14" width="13" hidden="0" customWidth="1"/>
  </x:cols>
  <x:sheetData>
    <x:row r="1" ht="34" customHeight="1">
      <x:c r="A1" s="5" t="str">
        <x:v>Audited Global Load-Cell Manufacturer Directory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Confirmed public manufacturers only. Parent-owned brands are consolidated where separate counting would duplicate the same engineering organization.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6" customHeight="1">
      <x:c r="A4" s="22" t="str">
        <x:v>Manufacturer / operating entity</x:v>
      </x:c>
      <x:c r="B4" s="22" t="str">
        <x:v>Parent group</x:v>
      </x:c>
      <x:c r="C4" s="22" t="str">
        <x:v>Brands / legacy lines</x:v>
      </x:c>
      <x:c r="D4" s="22" t="str">
        <x:v>HQ country</x:v>
      </x:c>
      <x:c r="E4" s="22" t="str">
        <x:v>Region</x:v>
      </x:c>
      <x:c r="F4" s="22" t="str">
        <x:v>Segment</x:v>
      </x:c>
      <x:c r="G4" s="22" t="str">
        <x:v>Sensor technology</x:v>
      </x:c>
      <x:c r="H4" s="22" t="str">
        <x:v>Product scope</x:v>
      </x:c>
      <x:c r="I4" s="22" t="str">
        <x:v>Evidence grade</x:v>
      </x:c>
      <x:c r="J4" s="22" t="str">
        <x:v>Evidence summary</x:v>
      </x:c>
      <x:c r="K4" s="22" t="str">
        <x:v>Official source URL</x:v>
      </x:c>
      <x:c r="L4" s="22" t="str">
        <x:v>Certificate / second source</x:v>
      </x:c>
      <x:c r="M4" s="22" t="str">
        <x:v>White-label / consolidation note</x:v>
      </x:c>
      <x:c r="N4" s="22" t="str">
        <x:v>Checked date</x:v>
      </x:c>
    </x:row>
    <x:row r="5" ht="45" customHeight="1">
      <x:c r="A5" s="34" t="str">
        <x:v>VPG Force Sensors</x:v>
      </x:c>
      <x:c r="B5" s="34" t="str">
        <x:v>Vishay Precision Group</x:v>
      </x:c>
      <x:c r="C5" s="34" t="str">
        <x:v>Tedea-Huntleigh; Sensortronics; Revere Transducers; Celtron; BLH Nobel</x:v>
      </x:c>
      <x:c r="D5" s="34" t="str">
        <x:v>United States</x:v>
      </x:c>
      <x:c r="E5" s="34" t="str">
        <x:v>North America</x:v>
      </x:c>
      <x:c r="F5" s="34" t="str">
        <x:v>Industrial weighing; process; test</x:v>
      </x:c>
      <x:c r="G5" s="34" t="str">
        <x:v>Strain gauge</x:v>
      </x:c>
      <x:c r="H5" s="34" t="str">
        <x:v>Platform, beam, canister, S-type, tension and custom load cells</x:v>
      </x:c>
      <x:c r="I5" s="34" t="str">
        <x:v>A</x:v>
      </x:c>
      <x:c r="J5" s="34" t="str">
        <x:v>First-party group material describes VPG as a major load-cell and transducer manufacturer and identifies its operating brands.</x:v>
      </x:c>
      <x:c r="K5" s="34" t="str">
        <x:v>https://vpgforcesensors.com/</x:v>
      </x:c>
      <x:c r="L5" s="34" t="str">
        <x:v>https://www.vpgsensors.com/</x:v>
      </x:c>
      <x:c r="M5" s="34" t="str"/>
      <x:c r="N5" s="36" t="n">
        <x:v>46227</x:v>
      </x:c>
    </x:row>
    <x:row r="6" ht="45" customHeight="1">
      <x:c r="A6" s="30" t="str">
        <x:v>Interface, Inc.</x:v>
      </x:c>
      <x:c r="B6" s="30" t="str"/>
      <x:c r="C6" s="30" t="str">
        <x:v>Interface; LCM Systems (subsidiary)</x:v>
      </x:c>
      <x:c r="D6" s="30" t="str">
        <x:v>United States</x:v>
      </x:c>
      <x:c r="E6" s="30" t="str">
        <x:v>North America</x:v>
      </x:c>
      <x:c r="F6" s="30" t="str">
        <x:v>Test &amp; measurement; aerospace; industrial; robotics</x:v>
      </x:c>
      <x:c r="G6" s="30" t="str">
        <x:v>Strain gauge</x:v>
      </x:c>
      <x:c r="H6" s="30" t="str">
        <x:v>Low- and high-capacity load cells, torque transducers and multi-axis sensors</x:v>
      </x:c>
      <x:c r="I6" s="30" t="str">
        <x:v>A</x:v>
      </x:c>
      <x:c r="J6" s="30" t="str">
        <x:v>First-party company material explicitly states that Interface designs and manufactures force-measurement products.</x:v>
      </x:c>
      <x:c r="K6" s="30" t="str">
        <x:v>https://www.interfaceforce.com/</x:v>
      </x:c>
      <x:c r="L6" s="30" t="str"/>
      <x:c r="M6" s="30" t="str"/>
      <x:c r="N6" s="37" t="n">
        <x:v>46227</x:v>
      </x:c>
    </x:row>
    <x:row r="7" ht="45" customHeight="1">
      <x:c r="A7" s="34" t="str">
        <x:v>FUTEK Advanced Sensor Technology</x:v>
      </x:c>
      <x:c r="B7" s="34" t="str"/>
      <x:c r="C7" s="34" t="str">
        <x:v>FUTEK</x:v>
      </x:c>
      <x:c r="D7" s="34" t="str">
        <x:v>United States</x:v>
      </x:c>
      <x:c r="E7" s="34" t="str">
        <x:v>North America</x:v>
      </x:c>
      <x:c r="F7" s="34" t="str">
        <x:v>Test &amp; measurement; OEM; aerospace; robotics</x:v>
      </x:c>
      <x:c r="G7" s="34" t="str">
        <x:v>Strain gauge</x:v>
      </x:c>
      <x:c r="H7" s="34" t="str">
        <x:v>Miniature, pancake, S-beam, through-hole, multi-axis and custom load cells</x:v>
      </x:c>
      <x:c r="I7" s="34" t="str">
        <x:v>A</x:v>
      </x:c>
      <x:c r="J7" s="34" t="str">
        <x:v>First-party product and company material presents in-house sensor engineering, manufacture and calibration.</x:v>
      </x:c>
      <x:c r="K7" s="34" t="str">
        <x:v>https://www.futek.com/</x:v>
      </x:c>
      <x:c r="L7" s="34" t="str"/>
      <x:c r="M7" s="34" t="str"/>
      <x:c r="N7" s="36" t="n">
        <x:v>46227</x:v>
      </x:c>
    </x:row>
    <x:row r="8" ht="45" customHeight="1">
      <x:c r="A8" s="30" t="str">
        <x:v>Honeywell Sensing Solutions</x:v>
      </x:c>
      <x:c r="B8" s="30" t="str">
        <x:v>Honeywell International</x:v>
      </x:c>
      <x:c r="C8" s="30" t="str">
        <x:v>Sensotec; Lebow; Model 31/41/43 families</x:v>
      </x:c>
      <x:c r="D8" s="30" t="str">
        <x:v>United States</x:v>
      </x:c>
      <x:c r="E8" s="30" t="str">
        <x:v>North America</x:v>
      </x:c>
      <x:c r="F8" s="30" t="str">
        <x:v>Test &amp; measurement; aerospace; industrial</x:v>
      </x:c>
      <x:c r="G8" s="30" t="str">
        <x:v>Strain gauge; foil</x:v>
      </x:c>
      <x:c r="H8" s="30" t="str">
        <x:v>Precision, fatigue-rated, subminiature, tension/compression and torque transducers</x:v>
      </x:c>
      <x:c r="I8" s="30" t="str">
        <x:v>A</x:v>
      </x:c>
      <x:c r="J8" s="30" t="str">
        <x:v>Honeywell's first-party load-cell portfolio identifies Honeywell as the manufacturer.</x:v>
      </x:c>
      <x:c r="K8" s="30" t="str">
        <x:v>https://automation.honeywell.com/us/en/products/sensing-solutions/test-and-measurement/load-cells</x:v>
      </x:c>
      <x:c r="L8" s="30" t="str"/>
      <x:c r="M8" s="30" t="str"/>
      <x:c r="N8" s="37" t="n">
        <x:v>46227</x:v>
      </x:c>
    </x:row>
    <x:row r="9" ht="45" customHeight="1">
      <x:c r="A9" s="34" t="str">
        <x:v>TE Connectivity Sensors</x:v>
      </x:c>
      <x:c r="B9" s="34" t="str">
        <x:v>TE Connectivity</x:v>
      </x:c>
      <x:c r="C9" s="34" t="str">
        <x:v>Measurement Specialties; MEAS</x:v>
      </x:c>
      <x:c r="D9" s="34" t="str">
        <x:v>Switzerland</x:v>
      </x:c>
      <x:c r="E9" s="34" t="str">
        <x:v>Global</x:v>
      </x:c>
      <x:c r="F9" s="34" t="str">
        <x:v>OEM; medical; industrial; robotics</x:v>
      </x:c>
      <x:c r="G9" s="34" t="str">
        <x:v>Strain gauge; piezoresistive</x:v>
      </x:c>
      <x:c r="H9" s="34" t="str">
        <x:v>OEM load cells, force sensors and custom transducers</x:v>
      </x:c>
      <x:c r="I9" s="34" t="str">
        <x:v>A</x:v>
      </x:c>
      <x:c r="J9" s="34" t="str">
        <x:v>TE's first-party material states that it designs and manufactures force sensors and OEM load cells.</x:v>
      </x:c>
      <x:c r="K9" s="34" t="str">
        <x:v>https://www.te.com/en/products/sensors/force-sensors.html</x:v>
      </x:c>
      <x:c r="L9" s="34" t="str"/>
      <x:c r="M9" s="34" t="str"/>
      <x:c r="N9" s="36" t="n">
        <x:v>46227</x:v>
      </x:c>
    </x:row>
    <x:row r="10" ht="45" customHeight="1">
      <x:c r="A10" s="30" t="str">
        <x:v>PCB Piezotronics</x:v>
      </x:c>
      <x:c r="B10" s="30" t="str">
        <x:v>Amphenol Corporation</x:v>
      </x:c>
      <x:c r="C10" s="30" t="str">
        <x:v>PCB Load &amp; Torque; Endevco</x:v>
      </x:c>
      <x:c r="D10" s="30" t="str">
        <x:v>United States</x:v>
      </x:c>
      <x:c r="E10" s="30" t="str">
        <x:v>North America</x:v>
      </x:c>
      <x:c r="F10" s="30" t="str">
        <x:v>Dynamic force; test &amp; measurement; aerospace</x:v>
      </x:c>
      <x:c r="G10" s="30" t="str">
        <x:v>Piezoelectric; strain gauge</x:v>
      </x:c>
      <x:c r="H10" s="30" t="str">
        <x:v>Dynamic force sensors, impact force sensors, load cells and multi-component force sensors</x:v>
      </x:c>
      <x:c r="I10" s="30" t="str">
        <x:v>A</x:v>
      </x:c>
      <x:c r="J10" s="30" t="str">
        <x:v>First-party product material identifies PCB as the manufacturer of load and force sensors.</x:v>
      </x:c>
      <x:c r="K10" s="30" t="str">
        <x:v>https://www.pcb.com/sensors-for-test-measurement/load-cells</x:v>
      </x:c>
      <x:c r="L10" s="30" t="str"/>
      <x:c r="M10" s="30" t="str"/>
      <x:c r="N10" s="37" t="n">
        <x:v>46227</x:v>
      </x:c>
    </x:row>
    <x:row r="11" ht="45" customHeight="1">
      <x:c r="A11" s="34" t="str">
        <x:v>Transducer Techniques</x:v>
      </x:c>
      <x:c r="B11" s="34" t="str"/>
      <x:c r="C11" s="34" t="str">
        <x:v>Transducer Techniques</x:v>
      </x:c>
      <x:c r="D11" s="34" t="str">
        <x:v>United States</x:v>
      </x:c>
      <x:c r="E11" s="34" t="str">
        <x:v>North America</x:v>
      </x:c>
      <x:c r="F11" s="34" t="str">
        <x:v>Test &amp; measurement; OEM; industrial</x:v>
      </x:c>
      <x:c r="G11" s="34" t="str">
        <x:v>Strain gauge</x:v>
      </x:c>
      <x:c r="H11" s="34" t="str">
        <x:v>Miniature, button, beam, S-type, reaction torque and custom load cells</x:v>
      </x:c>
      <x:c r="I11" s="34" t="str">
        <x:v>A</x:v>
      </x:c>
      <x:c r="J11" s="34" t="str">
        <x:v>First-party company material explicitly describes design and manufacture of load cells and force transducers.</x:v>
      </x:c>
      <x:c r="K11" s="34" t="str">
        <x:v>https://www.transducertechniques.com/</x:v>
      </x:c>
      <x:c r="L11" s="34" t="str"/>
      <x:c r="M11" s="34" t="str"/>
      <x:c r="N11" s="36" t="n">
        <x:v>46227</x:v>
      </x:c>
    </x:row>
    <x:row r="12" ht="45" customHeight="1">
      <x:c r="A12" s="30" t="str">
        <x:v>Transcell Technology</x:v>
      </x:c>
      <x:c r="B12" s="30" t="str"/>
      <x:c r="C12" s="30" t="str">
        <x:v>Transcell</x:v>
      </x:c>
      <x:c r="D12" s="30" t="str">
        <x:v>United States</x:v>
      </x:c>
      <x:c r="E12" s="30" t="str">
        <x:v>North America</x:v>
      </x:c>
      <x:c r="F12" s="30" t="str">
        <x:v>Industrial weighing; OEM; process</x:v>
      </x:c>
      <x:c r="G12" s="30" t="str">
        <x:v>Strain gauge</x:v>
      </x:c>
      <x:c r="H12" s="30" t="str">
        <x:v>Single-point, beam, canister, S-type and custom weighing load cells</x:v>
      </x:c>
      <x:c r="I12" s="30" t="str">
        <x:v>A</x:v>
      </x:c>
      <x:c r="J12" s="30" t="str">
        <x:v>First-party company material explicitly describes load-cell design and manufacturing.</x:v>
      </x:c>
      <x:c r="K12" s="30" t="str">
        <x:v>https://www.transcell.com/</x:v>
      </x:c>
      <x:c r="L12" s="30" t="str"/>
      <x:c r="M12" s="30" t="str"/>
      <x:c r="N12" s="37" t="n">
        <x:v>46227</x:v>
      </x:c>
    </x:row>
    <x:row r="13" ht="45" customHeight="1">
      <x:c r="A13" s="34" t="str">
        <x:v>Artech Industries</x:v>
      </x:c>
      <x:c r="B13" s="34" t="str"/>
      <x:c r="C13" s="34" t="str">
        <x:v>Artech</x:v>
      </x:c>
      <x:c r="D13" s="34" t="str">
        <x:v>United States</x:v>
      </x:c>
      <x:c r="E13" s="34" t="str">
        <x:v>North America</x:v>
      </x:c>
      <x:c r="F13" s="34" t="str">
        <x:v>Industrial weighing; process</x:v>
      </x:c>
      <x:c r="G13" s="34" t="str">
        <x:v>Strain gauge</x:v>
      </x:c>
      <x:c r="H13" s="34" t="str">
        <x:v>Single-point, beam, canister, S-type and specialty load cells</x:v>
      </x:c>
      <x:c r="I13" s="34" t="str">
        <x:v>A</x:v>
      </x:c>
      <x:c r="J13" s="34" t="str">
        <x:v>First-party material identifies the products as designed and made by Artech in the United States.</x:v>
      </x:c>
      <x:c r="K13" s="34" t="str">
        <x:v>https://artechloadcell.com/</x:v>
      </x:c>
      <x:c r="L13" s="34" t="str"/>
      <x:c r="M13" s="34" t="str"/>
      <x:c r="N13" s="36" t="n">
        <x:v>46227</x:v>
      </x:c>
    </x:row>
    <x:row r="14" ht="45" customHeight="1">
      <x:c r="A14" s="30" t="str">
        <x:v>Sensing Systems Corporation</x:v>
      </x:c>
      <x:c r="B14" s="30" t="str"/>
      <x:c r="C14" s="30" t="str">
        <x:v>Sensing Systems</x:v>
      </x:c>
      <x:c r="D14" s="30" t="str">
        <x:v>United States</x:v>
      </x:c>
      <x:c r="E14" s="30" t="str">
        <x:v>North America</x:v>
      </x:c>
      <x:c r="F14" s="30" t="str">
        <x:v>Custom OEM; aerospace; medical; industrial</x:v>
      </x:c>
      <x:c r="G14" s="30" t="str">
        <x:v>Strain gauge</x:v>
      </x:c>
      <x:c r="H14" s="30" t="str">
        <x:v>Custom load cells, force transducers, load pins, torque and multi-axis sensors</x:v>
      </x:c>
      <x:c r="I14" s="30" t="str">
        <x:v>A</x:v>
      </x:c>
      <x:c r="J14" s="30" t="str">
        <x:v>First-party company material explicitly describes custom load-cell engineering and manufacturing.</x:v>
      </x:c>
      <x:c r="K14" s="30" t="str">
        <x:v>https://sensing-systems.com/</x:v>
      </x:c>
      <x:c r="L14" s="30" t="str"/>
      <x:c r="M14" s="30" t="str"/>
      <x:c r="N14" s="37" t="n">
        <x:v>46227</x:v>
      </x:c>
    </x:row>
    <x:row r="15" ht="45" customHeight="1">
      <x:c r="A15" s="34" t="str">
        <x:v>HITEC Sensor Developments</x:v>
      </x:c>
      <x:c r="B15" s="34" t="str">
        <x:v>Humanetics Group</x:v>
      </x:c>
      <x:c r="C15" s="34" t="str">
        <x:v>HITEC</x:v>
      </x:c>
      <x:c r="D15" s="34" t="str">
        <x:v>United States</x:v>
      </x:c>
      <x:c r="E15" s="34" t="str">
        <x:v>North America</x:v>
      </x:c>
      <x:c r="F15" s="34" t="str">
        <x:v>Custom OEM; automotive; aerospace; medical</x:v>
      </x:c>
      <x:c r="G15" s="34" t="str">
        <x:v>Strain gauge</x:v>
      </x:c>
      <x:c r="H15" s="34" t="str">
        <x:v>Custom load cells, force and torque transducers, instrumented structures</x:v>
      </x:c>
      <x:c r="I15" s="34" t="str">
        <x:v>A</x:v>
      </x:c>
      <x:c r="J15" s="34" t="str">
        <x:v>First-party company material identifies in-house design and manufacture of custom sensors.</x:v>
      </x:c>
      <x:c r="K15" s="34" t="str">
        <x:v>https://hitec.humaneticsgroup.com/</x:v>
      </x:c>
      <x:c r="L15" s="34" t="str"/>
      <x:c r="M15" s="34" t="str"/>
      <x:c r="N15" s="36" t="n">
        <x:v>46227</x:v>
      </x:c>
    </x:row>
    <x:row r="16" ht="45" customHeight="1">
      <x:c r="A16" s="30" t="str">
        <x:v>TyTek Industries</x:v>
      </x:c>
      <x:c r="B16" s="30" t="str"/>
      <x:c r="C16" s="30" t="str">
        <x:v>TyTek</x:v>
      </x:c>
      <x:c r="D16" s="30" t="str">
        <x:v>United States</x:v>
      </x:c>
      <x:c r="E16" s="30" t="str">
        <x:v>North America</x:v>
      </x:c>
      <x:c r="F16" s="30" t="str">
        <x:v>Custom OEM; industrial; aerospace</x:v>
      </x:c>
      <x:c r="G16" s="30" t="str">
        <x:v>Strain gauge</x:v>
      </x:c>
      <x:c r="H16" s="30" t="str">
        <x:v>Custom force, load, pressure and torque transducers</x:v>
      </x:c>
      <x:c r="I16" s="30" t="str">
        <x:v>A</x:v>
      </x:c>
      <x:c r="J16" s="30" t="str">
        <x:v>First-party material describes TyTek as a designer and manufacturer of custom transducers.</x:v>
      </x:c>
      <x:c r="K16" s="30" t="str">
        <x:v>https://tytekindustries.com/</x:v>
      </x:c>
      <x:c r="L16" s="30" t="str"/>
      <x:c r="M16" s="30" t="str"/>
      <x:c r="N16" s="37" t="n">
        <x:v>46227</x:v>
      </x:c>
    </x:row>
    <x:row r="17" ht="45" customHeight="1">
      <x:c r="A17" s="34" t="str">
        <x:v>Strainsert Company</x:v>
      </x:c>
      <x:c r="B17" s="34" t="str"/>
      <x:c r="C17" s="34" t="str">
        <x:v>Strainsert</x:v>
      </x:c>
      <x:c r="D17" s="34" t="str">
        <x:v>United States</x:v>
      </x:c>
      <x:c r="E17" s="34" t="str">
        <x:v>North America</x:v>
      </x:c>
      <x:c r="F17" s="34" t="str">
        <x:v>Aerospace; nuclear; industrial; custom</x:v>
      </x:c>
      <x:c r="G17" s="34" t="str">
        <x:v>Strain gauge</x:v>
      </x:c>
      <x:c r="H17" s="34" t="str">
        <x:v>Load cells, load pins, force links, tension links and custom instrumented hardware</x:v>
      </x:c>
      <x:c r="I17" s="34" t="str">
        <x:v>A</x:v>
      </x:c>
      <x:c r="J17" s="34" t="str">
        <x:v>First-party material identifies Strainsert as a load-cell and force-transducer designer/manufacturer.</x:v>
      </x:c>
      <x:c r="K17" s="34" t="str">
        <x:v>https://strainsert.com/</x:v>
      </x:c>
      <x:c r="L17" s="34" t="str"/>
      <x:c r="M17" s="34" t="str"/>
      <x:c r="N17" s="36" t="n">
        <x:v>46227</x:v>
      </x:c>
    </x:row>
    <x:row r="18" ht="45" customHeight="1">
      <x:c r="A18" s="30" t="str">
        <x:v>Sentran, LLC</x:v>
      </x:c>
      <x:c r="B18" s="30" t="str"/>
      <x:c r="C18" s="30" t="str">
        <x:v>Sentran</x:v>
      </x:c>
      <x:c r="D18" s="30" t="str">
        <x:v>United States</x:v>
      </x:c>
      <x:c r="E18" s="30" t="str">
        <x:v>North America</x:v>
      </x:c>
      <x:c r="F18" s="30" t="str">
        <x:v>Industrial weighing; OEM; test</x:v>
      </x:c>
      <x:c r="G18" s="30" t="str">
        <x:v>Strain gauge</x:v>
      </x:c>
      <x:c r="H18" s="30" t="str">
        <x:v>Beam, single-point, S-beam, pancake, canister and custom load cells</x:v>
      </x:c>
      <x:c r="I18" s="30" t="str">
        <x:v>A</x:v>
      </x:c>
      <x:c r="J18" s="30" t="str">
        <x:v>First-party company and product material presents Sentran's own load-cell designs and manufacturing capability.</x:v>
      </x:c>
      <x:c r="K18" s="30" t="str">
        <x:v>https://www.sentranllc.com/</x:v>
      </x:c>
      <x:c r="L18" s="30" t="str"/>
      <x:c r="M18" s="30" t="str"/>
      <x:c r="N18" s="37" t="n">
        <x:v>46227</x:v>
      </x:c>
    </x:row>
    <x:row r="19" ht="45" customHeight="1">
      <x:c r="A19" s="34" t="str">
        <x:v>Cooper Instruments &amp; Systems</x:v>
      </x:c>
      <x:c r="B19" s="34" t="str"/>
      <x:c r="C19" s="34" t="str">
        <x:v>Cooper Instruments</x:v>
      </x:c>
      <x:c r="D19" s="34" t="str">
        <x:v>United States</x:v>
      </x:c>
      <x:c r="E19" s="34" t="str">
        <x:v>North America</x:v>
      </x:c>
      <x:c r="F19" s="34" t="str">
        <x:v>Test &amp; measurement; custom</x:v>
      </x:c>
      <x:c r="G19" s="34" t="str">
        <x:v>Strain gauge; hydraulic</x:v>
      </x:c>
      <x:c r="H19" s="34" t="str">
        <x:v>Load cells, force transducers, load pins, pressure and torque sensors</x:v>
      </x:c>
      <x:c r="I19" s="34" t="str">
        <x:v>A</x:v>
      </x:c>
      <x:c r="J19" s="34" t="str">
        <x:v>First-party company material describes design, manufacture and calibration of force-measurement products.</x:v>
      </x:c>
      <x:c r="K19" s="34" t="str">
        <x:v>https://www.cooperinstruments.com/</x:v>
      </x:c>
      <x:c r="L19" s="34" t="str"/>
      <x:c r="M19" s="34" t="str"/>
      <x:c r="N19" s="36" t="n">
        <x:v>46227</x:v>
      </x:c>
    </x:row>
    <x:row r="20" ht="45" customHeight="1">
      <x:c r="A20" s="30" t="str">
        <x:v>Load Cell Central</x:v>
      </x:c>
      <x:c r="B20" s="30" t="str"/>
      <x:c r="C20" s="30" t="str">
        <x:v>Load Cell Central</x:v>
      </x:c>
      <x:c r="D20" s="30" t="str">
        <x:v>United States</x:v>
      </x:c>
      <x:c r="E20" s="30" t="str">
        <x:v>North America</x:v>
      </x:c>
      <x:c r="F20" s="30" t="str">
        <x:v>Industrial; lifting; custom</x:v>
      </x:c>
      <x:c r="G20" s="30" t="str">
        <x:v>Strain gauge</x:v>
      </x:c>
      <x:c r="H20" s="30" t="str">
        <x:v>Standard and custom load cells, load pins and weighing assemblies</x:v>
      </x:c>
      <x:c r="I20" s="30" t="str">
        <x:v>A</x:v>
      </x:c>
      <x:c r="J20" s="30" t="str">
        <x:v>First-party material states that the company designs and manufactures load cells and custom force systems.</x:v>
      </x:c>
      <x:c r="K20" s="30" t="str">
        <x:v>https://www.loadcellcentral.com/</x:v>
      </x:c>
      <x:c r="L20" s="30" t="str"/>
      <x:c r="M20" s="30" t="str"/>
      <x:c r="N20" s="37" t="n">
        <x:v>46227</x:v>
      </x:c>
    </x:row>
    <x:row r="21" ht="45" customHeight="1">
      <x:c r="A21" s="34" t="str">
        <x:v>Loadstar Sensors</x:v>
      </x:c>
      <x:c r="B21" s="34" t="str"/>
      <x:c r="C21" s="34" t="str">
        <x:v>Loadstar</x:v>
      </x:c>
      <x:c r="D21" s="34" t="str">
        <x:v>United States</x:v>
      </x:c>
      <x:c r="E21" s="34" t="str">
        <x:v>North America</x:v>
      </x:c>
      <x:c r="F21" s="34" t="str">
        <x:v>Digital load cells; OEM; test</x:v>
      </x:c>
      <x:c r="G21" s="34" t="str">
        <x:v>Capacitive; strain gauge</x:v>
      </x:c>
      <x:c r="H21" s="34" t="str">
        <x:v>USB/digital load cells, button, S-beam, platform and custom force sensors</x:v>
      </x:c>
      <x:c r="I21" s="34" t="str">
        <x:v>A</x:v>
      </x:c>
      <x:c r="J21" s="34" t="str">
        <x:v>First-party material describes proprietary capacitive and strain-gauge load-cell development.</x:v>
      </x:c>
      <x:c r="K21" s="34" t="str">
        <x:v>https://www.loadstarsensors.com/</x:v>
      </x:c>
      <x:c r="L21" s="34" t="str"/>
      <x:c r="M21" s="34" t="str"/>
      <x:c r="N21" s="36" t="n">
        <x:v>46227</x:v>
      </x:c>
    </x:row>
    <x:row r="22" ht="45" customHeight="1">
      <x:c r="A22" s="30" t="str">
        <x:v>SensorData Technologies</x:v>
      </x:c>
      <x:c r="B22" s="30" t="str"/>
      <x:c r="C22" s="30" t="str">
        <x:v>SensorData</x:v>
      </x:c>
      <x:c r="D22" s="30" t="str">
        <x:v>United States</x:v>
      </x:c>
      <x:c r="E22" s="30" t="str">
        <x:v>North America</x:v>
      </x:c>
      <x:c r="F22" s="30" t="str">
        <x:v>Aerospace; test; industrial</x:v>
      </x:c>
      <x:c r="G22" s="30" t="str">
        <x:v>Strain gauge</x:v>
      </x:c>
      <x:c r="H22" s="30" t="str">
        <x:v>Load cells, torque sensors, force balances and custom transducers</x:v>
      </x:c>
      <x:c r="I22" s="30" t="str">
        <x:v>A</x:v>
      </x:c>
      <x:c r="J22" s="30" t="str">
        <x:v>First-party material identifies in-house design and manufacture of force and torque sensors.</x:v>
      </x:c>
      <x:c r="K22" s="30" t="str">
        <x:v>https://sensordata.com/</x:v>
      </x:c>
      <x:c r="L22" s="30" t="str"/>
      <x:c r="M22" s="30" t="str"/>
      <x:c r="N22" s="37" t="n">
        <x:v>46227</x:v>
      </x:c>
    </x:row>
    <x:row r="23" ht="45" customHeight="1">
      <x:c r="A23" s="34" t="str">
        <x:v>Stellar Technology</x:v>
      </x:c>
      <x:c r="B23" s="34" t="str">
        <x:v>Amphenol Corporation</x:v>
      </x:c>
      <x:c r="C23" s="34" t="str">
        <x:v>Stellar Technology</x:v>
      </x:c>
      <x:c r="D23" s="34" t="str">
        <x:v>United States</x:v>
      </x:c>
      <x:c r="E23" s="34" t="str">
        <x:v>North America</x:v>
      </x:c>
      <x:c r="F23" s="34" t="str">
        <x:v>Aerospace; oil &amp; gas; test; industrial</x:v>
      </x:c>
      <x:c r="G23" s="34" t="str">
        <x:v>Strain gauge</x:v>
      </x:c>
      <x:c r="H23" s="34" t="str">
        <x:v>Load cells, force transducers, pressure sensors and custom instrumentation</x:v>
      </x:c>
      <x:c r="I23" s="34" t="str">
        <x:v>A</x:v>
      </x:c>
      <x:c r="J23" s="34" t="str">
        <x:v>First-party material describes sensor design and manufacturing at Stellar Technology.</x:v>
      </x:c>
      <x:c r="K23" s="34" t="str">
        <x:v>https://www.stellartech.com/</x:v>
      </x:c>
      <x:c r="L23" s="34" t="str"/>
      <x:c r="M23" s="34" t="str"/>
      <x:c r="N23" s="36" t="n">
        <x:v>46227</x:v>
      </x:c>
    </x:row>
    <x:row r="24" ht="45" customHeight="1">
      <x:c r="A24" s="30" t="str">
        <x:v>Tovey Engineering</x:v>
      </x:c>
      <x:c r="B24" s="30" t="str"/>
      <x:c r="C24" s="30" t="str">
        <x:v>Tovey</x:v>
      </x:c>
      <x:c r="D24" s="30" t="str">
        <x:v>United States</x:v>
      </x:c>
      <x:c r="E24" s="30" t="str">
        <x:v>North America</x:v>
      </x:c>
      <x:c r="F24" s="30" t="str">
        <x:v>Force calibration; reference standards</x:v>
      </x:c>
      <x:c r="G24" s="30" t="str">
        <x:v>Strain gauge</x:v>
      </x:c>
      <x:c r="H24" s="30" t="str">
        <x:v>Reference load cells, transfer standards, force calibration systems and custom cells</x:v>
      </x:c>
      <x:c r="I24" s="30" t="str">
        <x:v>A</x:v>
      </x:c>
      <x:c r="J24" s="30" t="str">
        <x:v>First-party material documents Tovey's own reference load-cell design and production.</x:v>
      </x:c>
      <x:c r="K24" s="30" t="str">
        <x:v>https://toveyengineering.com/</x:v>
      </x:c>
      <x:c r="L24" s="30" t="str"/>
      <x:c r="M24" s="30" t="str"/>
      <x:c r="N24" s="37" t="n">
        <x:v>46227</x:v>
      </x:c>
    </x:row>
    <x:row r="25" ht="45" customHeight="1">
      <x:c r="A25" s="34" t="str">
        <x:v>Morehouse Instrument Company</x:v>
      </x:c>
      <x:c r="B25" s="34" t="str"/>
      <x:c r="C25" s="34" t="str">
        <x:v>Morehouse</x:v>
      </x:c>
      <x:c r="D25" s="34" t="str">
        <x:v>United States</x:v>
      </x:c>
      <x:c r="E25" s="34" t="str">
        <x:v>North America</x:v>
      </x:c>
      <x:c r="F25" s="34" t="str">
        <x:v>Force calibration; reference standards</x:v>
      </x:c>
      <x:c r="G25" s="34" t="str">
        <x:v>Strain gauge</x:v>
      </x:c>
      <x:c r="H25" s="34" t="str">
        <x:v>Reference load cells, proving rings, force calibration systems</x:v>
      </x:c>
      <x:c r="I25" s="34" t="str">
        <x:v>A</x:v>
      </x:c>
      <x:c r="J25" s="34" t="str">
        <x:v>First-party material presents Morehouse-manufactured force standards and load cells.</x:v>
      </x:c>
      <x:c r="K25" s="34" t="str">
        <x:v>https://mhforce.com/</x:v>
      </x:c>
      <x:c r="L25" s="34" t="str"/>
      <x:c r="M25" s="34" t="str"/>
      <x:c r="N25" s="36" t="n">
        <x:v>46227</x:v>
      </x:c>
    </x:row>
    <x:row r="26" ht="45" customHeight="1">
      <x:c r="A26" s="30" t="str">
        <x:v>Hardy Process Solutions</x:v>
      </x:c>
      <x:c r="B26" s="30" t="str">
        <x:v>Indicor</x:v>
      </x:c>
      <x:c r="C26" s="30" t="str">
        <x:v>Hardy</x:v>
      </x:c>
      <x:c r="D26" s="30" t="str">
        <x:v>United States</x:v>
      </x:c>
      <x:c r="E26" s="30" t="str">
        <x:v>North America</x:v>
      </x:c>
      <x:c r="F26" s="30" t="str">
        <x:v>Process weighing; industrial automation</x:v>
      </x:c>
      <x:c r="G26" s="30" t="str">
        <x:v>Strain gauge</x:v>
      </x:c>
      <x:c r="H26" s="30" t="str">
        <x:v>Process load cells, weigh modules and integrated weighing sensors</x:v>
      </x:c>
      <x:c r="I26" s="30" t="str">
        <x:v>A</x:v>
      </x:c>
      <x:c r="J26" s="30" t="str">
        <x:v>First-party material describes Hardy-designed industrial load cells and weigh modules.</x:v>
      </x:c>
      <x:c r="K26" s="30" t="str">
        <x:v>https://www.hardysolutions.com/</x:v>
      </x:c>
      <x:c r="L26" s="30" t="str"/>
      <x:c r="M26" s="30" t="str"/>
      <x:c r="N26" s="37" t="n">
        <x:v>46227</x:v>
      </x:c>
    </x:row>
    <x:row r="27" ht="45" customHeight="1">
      <x:c r="A27" s="34" t="str">
        <x:v>Cardinal Scale Manufacturing</x:v>
      </x:c>
      <x:c r="B27" s="34" t="str">
        <x:v>Cardinal Scale Manufacturing Company</x:v>
      </x:c>
      <x:c r="C27" s="34" t="str">
        <x:v>Cardinal; Detecto</x:v>
      </x:c>
      <x:c r="D27" s="34" t="str">
        <x:v>United States</x:v>
      </x:c>
      <x:c r="E27" s="34" t="str">
        <x:v>North America</x:v>
      </x:c>
      <x:c r="F27" s="34" t="str">
        <x:v>Industrial weighing; vehicle scales</x:v>
      </x:c>
      <x:c r="G27" s="34" t="str">
        <x:v>Strain gauge</x:v>
      </x:c>
      <x:c r="H27" s="34" t="str">
        <x:v>Beam, canister, compression, tank and vehicle-scale load cells</x:v>
      </x:c>
      <x:c r="I27" s="34" t="str">
        <x:v>B</x:v>
      </x:c>
      <x:c r="J27" s="34" t="str">
        <x:v>Formal OIML/NTEP manufacturer records and first-party product material identify Cardinal as the manufacturer.</x:v>
      </x:c>
      <x:c r="K27" s="34" t="str">
        <x:v>https://cardinalscale.com/</x:v>
      </x:c>
      <x:c r="L27" s="34" t="str">
        <x:v>https://www.oiml.org/en/oiml-cs/certificate-search</x:v>
      </x:c>
      <x:c r="M27" s="34" t="str"/>
      <x:c r="N27" s="36" t="n">
        <x:v>46227</x:v>
      </x:c>
    </x:row>
    <x:row r="28" ht="45" customHeight="1">
      <x:c r="A28" s="30" t="str">
        <x:v>Intercomp Company</x:v>
      </x:c>
      <x:c r="B28" s="30" t="str"/>
      <x:c r="C28" s="30" t="str">
        <x:v>Intercomp</x:v>
      </x:c>
      <x:c r="D28" s="30" t="str">
        <x:v>United States</x:v>
      </x:c>
      <x:c r="E28" s="30" t="str">
        <x:v>North America</x:v>
      </x:c>
      <x:c r="F28" s="30" t="str">
        <x:v>Vehicle weighing; racing; aviation; test</x:v>
      </x:c>
      <x:c r="G28" s="30" t="str">
        <x:v>Strain gauge</x:v>
      </x:c>
      <x:c r="H28" s="30" t="str">
        <x:v>Wheel-load scales, platform load cells and custom weighing sensors</x:v>
      </x:c>
      <x:c r="I28" s="30" t="str">
        <x:v>B</x:v>
      </x:c>
      <x:c r="J28" s="30" t="str">
        <x:v>First-party manufacturing material and legal metrology listings identify Intercomp as the maker.</x:v>
      </x:c>
      <x:c r="K28" s="30" t="str">
        <x:v>https://www.intercompcompany.com/</x:v>
      </x:c>
      <x:c r="L28" s="30" t="str">
        <x:v>https://www.ncwm.com/ntep-certificates</x:v>
      </x:c>
      <x:c r="M28" s="30" t="str"/>
      <x:c r="N28" s="37" t="n">
        <x:v>46227</x:v>
      </x:c>
    </x:row>
    <x:row r="29" ht="45" customHeight="1">
      <x:c r="A29" s="34" t="str">
        <x:v>Mettler-Toledo</x:v>
      </x:c>
      <x:c r="B29" s="34" t="str"/>
      <x:c r="C29" s="34" t="str">
        <x:v>POWERCELL; RingMount; MultiMount</x:v>
      </x:c>
      <x:c r="D29" s="34" t="str">
        <x:v>Switzerland</x:v>
      </x:c>
      <x:c r="E29" s="34" t="str">
        <x:v>Global</x:v>
      </x:c>
      <x:c r="F29" s="34" t="str">
        <x:v>Industrial weighing; process; vehicle scales</x:v>
      </x:c>
      <x:c r="G29" s="34" t="str">
        <x:v>Strain gauge; digital</x:v>
      </x:c>
      <x:c r="H29" s="34" t="str">
        <x:v>Digital and analog load cells, weigh modules and tank/vehicle weighing cells</x:v>
      </x:c>
      <x:c r="I29" s="34" t="str">
        <x:v>A</x:v>
      </x:c>
      <x:c r="J29" s="34" t="str">
        <x:v>First-party engineering and product documentation identifies proprietary load-cell platforms and manufacture.</x:v>
      </x:c>
      <x:c r="K29" s="34" t="str">
        <x:v>https://www.mt.com/us/en/home/products/Industrial_Weighing_Solutions/load-cells.html</x:v>
      </x:c>
      <x:c r="L29" s="34" t="str"/>
      <x:c r="M29" s="34" t="str"/>
      <x:c r="N29" s="36" t="n">
        <x:v>46227</x:v>
      </x:c>
    </x:row>
    <x:row r="30" ht="45" customHeight="1">
      <x:c r="A30" s="30" t="str">
        <x:v>Avery Weigh-Tronix</x:v>
      </x:c>
      <x:c r="B30" s="30" t="str">
        <x:v>Illinois Tool Works</x:v>
      </x:c>
      <x:c r="C30" s="30" t="str">
        <x:v>Avery Weigh-Tronix</x:v>
      </x:c>
      <x:c r="D30" s="30" t="str">
        <x:v>United Kingdom</x:v>
      </x:c>
      <x:c r="E30" s="30" t="str">
        <x:v>Global</x:v>
      </x:c>
      <x:c r="F30" s="30" t="str">
        <x:v>Industrial weighing; vehicle scales; process</x:v>
      </x:c>
      <x:c r="G30" s="30" t="str">
        <x:v>Strain gauge</x:v>
      </x:c>
      <x:c r="H30" s="30" t="str">
        <x:v>Beam, canister, compression and vehicle-scale load cells</x:v>
      </x:c>
      <x:c r="I30" s="30" t="str">
        <x:v>B</x:v>
      </x:c>
      <x:c r="J30" s="30" t="str">
        <x:v>Legal-metrology certificates identify Avery Weigh-Tronix as manufacturer-applicant; first-party catalog supports the product scope.</x:v>
      </x:c>
      <x:c r="K30" s="30" t="str">
        <x:v>https://www.averyweigh-tronix.com/products/load-cells/</x:v>
      </x:c>
      <x:c r="L30" s="30" t="str">
        <x:v>https://www.oiml.org/en/oiml-cs/certificate-search</x:v>
      </x:c>
      <x:c r="M30" s="30" t="str"/>
      <x:c r="N30" s="37" t="n">
        <x:v>46227</x:v>
      </x:c>
    </x:row>
    <x:row r="31" ht="45" customHeight="1">
      <x:c r="A31" s="34" t="str">
        <x:v>ANYLOAD Transducer</x:v>
      </x:c>
      <x:c r="B31" s="34" t="str"/>
      <x:c r="C31" s="34" t="str">
        <x:v>ANYLOAD</x:v>
      </x:c>
      <x:c r="D31" s="34" t="str">
        <x:v>Canada</x:v>
      </x:c>
      <x:c r="E31" s="34" t="str">
        <x:v>North America</x:v>
      </x:c>
      <x:c r="F31" s="34" t="str">
        <x:v>Industrial weighing; OEM; test</x:v>
      </x:c>
      <x:c r="G31" s="34" t="str">
        <x:v>Strain gauge</x:v>
      </x:c>
      <x:c r="H31" s="34" t="str">
        <x:v>Single-point, beam, canister, S-type, pancake and custom load cells</x:v>
      </x:c>
      <x:c r="I31" s="34" t="str">
        <x:v>A</x:v>
      </x:c>
      <x:c r="J31" s="34" t="str">
        <x:v>First-party company material explicitly states design and manufacture of weighing and force-measurement products.</x:v>
      </x:c>
      <x:c r="K31" s="34" t="str">
        <x:v>https://www.anyload.com/</x:v>
      </x:c>
      <x:c r="L31" s="34" t="str"/>
      <x:c r="M31" s="34" t="str"/>
      <x:c r="N31" s="36" t="n">
        <x:v>46227</x:v>
      </x:c>
    </x:row>
    <x:row r="32" ht="45" customHeight="1">
      <x:c r="A32" s="30" t="str">
        <x:v>Massload Technologies</x:v>
      </x:c>
      <x:c r="B32" s="30" t="str"/>
      <x:c r="C32" s="30" t="str">
        <x:v>Massload</x:v>
      </x:c>
      <x:c r="D32" s="30" t="str">
        <x:v>Canada</x:v>
      </x:c>
      <x:c r="E32" s="30" t="str">
        <x:v>North America</x:v>
      </x:c>
      <x:c r="F32" s="30" t="str">
        <x:v>Industrial weighing; vehicle scales; custom</x:v>
      </x:c>
      <x:c r="G32" s="30" t="str">
        <x:v>Strain gauge</x:v>
      </x:c>
      <x:c r="H32" s="30" t="str">
        <x:v>Vehicle-scale, tank, beam, canister and custom load cells</x:v>
      </x:c>
      <x:c r="I32" s="30" t="str">
        <x:v>A</x:v>
      </x:c>
      <x:c r="J32" s="30" t="str">
        <x:v>First-party material identifies Canadian in-house load-cell design and manufacturing.</x:v>
      </x:c>
      <x:c r="K32" s="30" t="str">
        <x:v>https://massload.com/</x:v>
      </x:c>
      <x:c r="L32" s="30" t="str"/>
      <x:c r="M32" s="30" t="str"/>
      <x:c r="N32" s="37" t="n">
        <x:v>46227</x:v>
      </x:c>
    </x:row>
    <x:row r="33" ht="45" customHeight="1">
      <x:c r="A33" s="34" t="str">
        <x:v>Instron</x:v>
      </x:c>
      <x:c r="B33" s="34" t="str">
        <x:v>Illinois Tool Works</x:v>
      </x:c>
      <x:c r="C33" s="34" t="str">
        <x:v>Instron</x:v>
      </x:c>
      <x:c r="D33" s="34" t="str">
        <x:v>United States</x:v>
      </x:c>
      <x:c r="E33" s="34" t="str">
        <x:v>North America</x:v>
      </x:c>
      <x:c r="F33" s="34" t="str">
        <x:v>Materials testing; test machines</x:v>
      </x:c>
      <x:c r="G33" s="34" t="str">
        <x:v>Strain gauge</x:v>
      </x:c>
      <x:c r="H33" s="34" t="str">
        <x:v>Static and dynamic testing-machine load cells and sensor accessories</x:v>
      </x:c>
      <x:c r="I33" s="34" t="str">
        <x:v>A</x:v>
      </x:c>
      <x:c r="J33" s="34" t="str">
        <x:v>First-party material states that Instron designs and manufactures its load cells for its test systems.</x:v>
      </x:c>
      <x:c r="K33" s="34" t="str">
        <x:v>https://www.instron.com/en/products/testing-accessories/load-cells</x:v>
      </x:c>
      <x:c r="L33" s="34" t="str"/>
      <x:c r="M33" s="34" t="str"/>
      <x:c r="N33" s="36" t="n">
        <x:v>46227</x:v>
      </x:c>
    </x:row>
    <x:row r="34" ht="45" customHeight="1">
      <x:c r="A34" s="30" t="str">
        <x:v>Advanced Mechanical Technology, Inc. (AMTI)</x:v>
      </x:c>
      <x:c r="B34" s="30" t="str"/>
      <x:c r="C34" s="30" t="str">
        <x:v>AMTI</x:v>
      </x:c>
      <x:c r="D34" s="30" t="str">
        <x:v>United States</x:v>
      </x:c>
      <x:c r="E34" s="30" t="str">
        <x:v>North America</x:v>
      </x:c>
      <x:c r="F34" s="30" t="str">
        <x:v>Biomechanics; multi-axis; robotics</x:v>
      </x:c>
      <x:c r="G34" s="30" t="str">
        <x:v>Strain gauge</x:v>
      </x:c>
      <x:c r="H34" s="30" t="str">
        <x:v>Six-axis force plates, multi-axis load cells and custom force platforms</x:v>
      </x:c>
      <x:c r="I34" s="30" t="str">
        <x:v>A</x:v>
      </x:c>
      <x:c r="J34" s="30" t="str">
        <x:v>First-party material describes AMTI's design and manufacture of multi-axis force sensors and force plates.</x:v>
      </x:c>
      <x:c r="K34" s="30" t="str">
        <x:v>https://www.amti.biz/</x:v>
      </x:c>
      <x:c r="L34" s="30" t="str"/>
      <x:c r="M34" s="30" t="str"/>
      <x:c r="N34" s="37" t="n">
        <x:v>46227</x:v>
      </x:c>
    </x:row>
    <x:row r="35" ht="45" customHeight="1">
      <x:c r="A35" s="34" t="str">
        <x:v>Bertec Corporation</x:v>
      </x:c>
      <x:c r="B35" s="34" t="str"/>
      <x:c r="C35" s="34" t="str">
        <x:v>Bertec</x:v>
      </x:c>
      <x:c r="D35" s="34" t="str">
        <x:v>United States</x:v>
      </x:c>
      <x:c r="E35" s="34" t="str">
        <x:v>North America</x:v>
      </x:c>
      <x:c r="F35" s="34" t="str">
        <x:v>Biomechanics; gait; sports science</x:v>
      </x:c>
      <x:c r="G35" s="34" t="str">
        <x:v>Strain gauge</x:v>
      </x:c>
      <x:c r="H35" s="34" t="str">
        <x:v>Force plates, instrumented treadmills and multi-axis force sensors</x:v>
      </x:c>
      <x:c r="I35" s="34" t="str">
        <x:v>A</x:v>
      </x:c>
      <x:c r="J35" s="34" t="str">
        <x:v>First-party product and facility material identifies proprietary force-platform engineering and manufacturing.</x:v>
      </x:c>
      <x:c r="K35" s="34" t="str">
        <x:v>https://www.bertec.com/</x:v>
      </x:c>
      <x:c r="L35" s="34" t="str"/>
      <x:c r="M35" s="34" t="str"/>
      <x:c r="N35" s="36" t="n">
        <x:v>46227</x:v>
      </x:c>
    </x:row>
    <x:row r="36" ht="45" customHeight="1">
      <x:c r="A36" s="30" t="str">
        <x:v>ATI Industrial Automation</x:v>
      </x:c>
      <x:c r="B36" s="30" t="str">
        <x:v>Novanta</x:v>
      </x:c>
      <x:c r="C36" s="30" t="str">
        <x:v>ATI</x:v>
      </x:c>
      <x:c r="D36" s="30" t="str">
        <x:v>United States</x:v>
      </x:c>
      <x:c r="E36" s="30" t="str">
        <x:v>North America</x:v>
      </x:c>
      <x:c r="F36" s="30" t="str">
        <x:v>Robotics; multi-axis force/torque</x:v>
      </x:c>
      <x:c r="G36" s="30" t="str">
        <x:v>Strain gauge; silicon</x:v>
      </x:c>
      <x:c r="H36" s="30" t="str">
        <x:v>Six-axis force/torque sensors, robotic collision sensors and custom transducers</x:v>
      </x:c>
      <x:c r="I36" s="30" t="str">
        <x:v>A</x:v>
      </x:c>
      <x:c r="J36" s="30" t="str">
        <x:v>First-party material identifies ATI as the designer and manufacturer of its robotic force/torque sensors.</x:v>
      </x:c>
      <x:c r="K36" s="30" t="str">
        <x:v>https://www.ati-ia.com/products/ft/ft_models.aspx</x:v>
      </x:c>
      <x:c r="L36" s="30" t="str"/>
      <x:c r="M36" s="30" t="str"/>
      <x:c r="N36" s="37" t="n">
        <x:v>46227</x:v>
      </x:c>
    </x:row>
    <x:row r="37" ht="45" customHeight="1">
      <x:c r="A37" s="34" t="str">
        <x:v>JR3, Inc.</x:v>
      </x:c>
      <x:c r="B37" s="34" t="str"/>
      <x:c r="C37" s="34" t="str">
        <x:v>JR3</x:v>
      </x:c>
      <x:c r="D37" s="34" t="str">
        <x:v>United States</x:v>
      </x:c>
      <x:c r="E37" s="34" t="str">
        <x:v>North America</x:v>
      </x:c>
      <x:c r="F37" s="34" t="str">
        <x:v>Robotics; aerospace; multi-axis</x:v>
      </x:c>
      <x:c r="G37" s="34" t="str">
        <x:v>Strain gauge</x:v>
      </x:c>
      <x:c r="H37" s="34" t="str">
        <x:v>Six-axis force/torque sensors and signal-processing electronics</x:v>
      </x:c>
      <x:c r="I37" s="34" t="str">
        <x:v>A</x:v>
      </x:c>
      <x:c r="J37" s="34" t="str">
        <x:v>First-party technical material documents JR3's own multi-axis transducer designs.</x:v>
      </x:c>
      <x:c r="K37" s="34" t="str">
        <x:v>https://www.jr3.com/</x:v>
      </x:c>
      <x:c r="L37" s="34" t="str"/>
      <x:c r="M37" s="34" t="str"/>
      <x:c r="N37" s="36" t="n">
        <x:v>46227</x:v>
      </x:c>
    </x:row>
    <x:row r="38" ht="45" customHeight="1">
      <x:c r="A38" s="30" t="str">
        <x:v>Tekscan</x:v>
      </x:c>
      <x:c r="B38" s="30" t="str"/>
      <x:c r="C38" s="30" t="str">
        <x:v>FlexiForce</x:v>
      </x:c>
      <x:c r="D38" s="30" t="str">
        <x:v>United States</x:v>
      </x:c>
      <x:c r="E38" s="30" t="str">
        <x:v>North America</x:v>
      </x:c>
      <x:c r="F38" s="30" t="str">
        <x:v>Thin-film force; OEM; medical; robotics</x:v>
      </x:c>
      <x:c r="G38" s="30" t="str">
        <x:v>Piezoresistive</x:v>
      </x:c>
      <x:c r="H38" s="30" t="str">
        <x:v>Flexible force sensors and pressure/force mapping systems</x:v>
      </x:c>
      <x:c r="I38" s="30" t="str">
        <x:v>A</x:v>
      </x:c>
      <x:c r="J38" s="30" t="str">
        <x:v>First-party material identifies Tekscan as the developer and manufacturer of FlexiForce sensors.</x:v>
      </x:c>
      <x:c r="K38" s="30" t="str">
        <x:v>https://www.tekscan.com/products-solutions/force-sensors</x:v>
      </x:c>
      <x:c r="L38" s="30" t="str"/>
      <x:c r="M38" s="30" t="str"/>
      <x:c r="N38" s="37" t="n">
        <x:v>46227</x:v>
      </x:c>
    </x:row>
    <x:row r="39" ht="45" customHeight="1">
      <x:c r="A39" s="34" t="str">
        <x:v>Pressure Profile Systems</x:v>
      </x:c>
      <x:c r="B39" s="34" t="str"/>
      <x:c r="C39" s="34" t="str">
        <x:v>PPS</x:v>
      </x:c>
      <x:c r="D39" s="34" t="str">
        <x:v>United States</x:v>
      </x:c>
      <x:c r="E39" s="34" t="str">
        <x:v>North America</x:v>
      </x:c>
      <x:c r="F39" s="34" t="str">
        <x:v>Tactile force; robotics; medical</x:v>
      </x:c>
      <x:c r="G39" s="34" t="str">
        <x:v>Capacitive</x:v>
      </x:c>
      <x:c r="H39" s="34" t="str">
        <x:v>Capacitive tactile sensors, force arrays and custom pressure/force sensing systems</x:v>
      </x:c>
      <x:c r="I39" s="34" t="str">
        <x:v>A</x:v>
      </x:c>
      <x:c r="J39" s="34" t="str">
        <x:v>First-party material describes proprietary capacitive sensor development and manufacturing.</x:v>
      </x:c>
      <x:c r="K39" s="34" t="str">
        <x:v>https://pressureprofile.com/</x:v>
      </x:c>
      <x:c r="L39" s="34" t="str"/>
      <x:c r="M39" s="34" t="str"/>
      <x:c r="N39" s="36" t="n">
        <x:v>46227</x:v>
      </x:c>
    </x:row>
    <x:row r="40" ht="45" customHeight="1">
      <x:c r="A40" s="30" t="str">
        <x:v>SingleTact</x:v>
      </x:c>
      <x:c r="B40" s="30" t="str">
        <x:v>Pressure Profile Systems</x:v>
      </x:c>
      <x:c r="C40" s="30" t="str">
        <x:v>SingleTact</x:v>
      </x:c>
      <x:c r="D40" s="30" t="str">
        <x:v>United States</x:v>
      </x:c>
      <x:c r="E40" s="30" t="str">
        <x:v>North America</x:v>
      </x:c>
      <x:c r="F40" s="30" t="str">
        <x:v>Thin-film force; OEM; robotics</x:v>
      </x:c>
      <x:c r="G40" s="30" t="str">
        <x:v>Capacitive</x:v>
      </x:c>
      <x:c r="H40" s="30" t="str">
        <x:v>Single-point thin-film force sensors and force-sensing arrays</x:v>
      </x:c>
      <x:c r="I40" s="30" t="str">
        <x:v>A</x:v>
      </x:c>
      <x:c r="J40" s="30" t="str">
        <x:v>First-party material presents proprietary capacitive force-sensor design and production.</x:v>
      </x:c>
      <x:c r="K40" s="30" t="str">
        <x:v>https://www.singletact.com/</x:v>
      </x:c>
      <x:c r="L40" s="30" t="str"/>
      <x:c r="M40" s="30" t="str"/>
      <x:c r="N40" s="37" t="n">
        <x:v>46227</x:v>
      </x:c>
    </x:row>
    <x:row r="41" ht="45" customHeight="1">
      <x:c r="A41" s="34" t="str">
        <x:v>Montalvo Corporation</x:v>
      </x:c>
      <x:c r="B41" s="34" t="str"/>
      <x:c r="C41" s="34" t="str">
        <x:v>Montalvo</x:v>
      </x:c>
      <x:c r="D41" s="34" t="str">
        <x:v>United States</x:v>
      </x:c>
      <x:c r="E41" s="34" t="str">
        <x:v>North America</x:v>
      </x:c>
      <x:c r="F41" s="34" t="str">
        <x:v>Web tension; converting</x:v>
      </x:c>
      <x:c r="G41" s="34" t="str">
        <x:v>Strain gauge</x:v>
      </x:c>
      <x:c r="H41" s="34" t="str">
        <x:v>Web-tension load cells, tension transducers and roll-force sensors</x:v>
      </x:c>
      <x:c r="I41" s="34" t="str">
        <x:v>A</x:v>
      </x:c>
      <x:c r="J41" s="34" t="str">
        <x:v>First-party material identifies Montalvo's own tension-sensing load-cell designs.</x:v>
      </x:c>
      <x:c r="K41" s="34" t="str">
        <x:v>https://www.montalvo.com/</x:v>
      </x:c>
      <x:c r="L41" s="34" t="str"/>
      <x:c r="M41" s="34" t="str"/>
      <x:c r="N41" s="36" t="n">
        <x:v>46227</x:v>
      </x:c>
    </x:row>
    <x:row r="42" ht="45" customHeight="1">
      <x:c r="A42" s="30" t="str">
        <x:v>Dover Flexo Electronics</x:v>
      </x:c>
      <x:c r="B42" s="30" t="str"/>
      <x:c r="C42" s="30" t="str">
        <x:v>DFE</x:v>
      </x:c>
      <x:c r="D42" s="30" t="str">
        <x:v>United States</x:v>
      </x:c>
      <x:c r="E42" s="30" t="str">
        <x:v>North America</x:v>
      </x:c>
      <x:c r="F42" s="30" t="str">
        <x:v>Web tension; converting</x:v>
      </x:c>
      <x:c r="G42" s="30" t="str">
        <x:v>Strain gauge</x:v>
      </x:c>
      <x:c r="H42" s="30" t="str">
        <x:v>Tension transducers, load cells and web-tension control systems</x:v>
      </x:c>
      <x:c r="I42" s="30" t="str">
        <x:v>A</x:v>
      </x:c>
      <x:c r="J42" s="30" t="str">
        <x:v>First-party material describes DFE-designed and manufactured tension transducers.</x:v>
      </x:c>
      <x:c r="K42" s="30" t="str">
        <x:v>https://www.dfe.com/</x:v>
      </x:c>
      <x:c r="L42" s="30" t="str"/>
      <x:c r="M42" s="30" t="str"/>
      <x:c r="N42" s="37" t="n">
        <x:v>46227</x:v>
      </x:c>
    </x:row>
    <x:row r="43" ht="45" customHeight="1">
      <x:c r="A43" s="34" t="str">
        <x:v>Maxcess</x:v>
      </x:c>
      <x:c r="B43" s="34" t="str">
        <x:v>Berwind Corporation</x:v>
      </x:c>
      <x:c r="C43" s="34" t="str">
        <x:v>MAGPOWR; Fife; Tidland</x:v>
      </x:c>
      <x:c r="D43" s="34" t="str">
        <x:v>United States</x:v>
      </x:c>
      <x:c r="E43" s="34" t="str">
        <x:v>North America</x:v>
      </x:c>
      <x:c r="F43" s="34" t="str">
        <x:v>Web tension; converting</x:v>
      </x:c>
      <x:c r="G43" s="34" t="str">
        <x:v>Strain gauge</x:v>
      </x:c>
      <x:c r="H43" s="34" t="str">
        <x:v>Web-tension load cells, tension sensors and control systems</x:v>
      </x:c>
      <x:c r="I43" s="34" t="str">
        <x:v>A</x:v>
      </x:c>
      <x:c r="J43" s="34" t="str">
        <x:v>First-party MAGPOWR/Maxcess material identifies proprietary tension load-cell engineering.</x:v>
      </x:c>
      <x:c r="K43" s="34" t="str">
        <x:v>https://www.maxcessintl.com/products/tension-control/load-cells/</x:v>
      </x:c>
      <x:c r="L43" s="34" t="str"/>
      <x:c r="M43" s="34" t="str"/>
      <x:c r="N43" s="36" t="n">
        <x:v>46227</x:v>
      </x:c>
    </x:row>
    <x:row r="44" ht="45" customHeight="1">
      <x:c r="A44" s="30" t="str">
        <x:v>Kistler-Morse</x:v>
      </x:c>
      <x:c r="B44" s="30" t="str">
        <x:v>Indicor</x:v>
      </x:c>
      <x:c r="C44" s="30" t="str">
        <x:v>Kistler-Morse</x:v>
      </x:c>
      <x:c r="D44" s="30" t="str">
        <x:v>United States</x:v>
      </x:c>
      <x:c r="E44" s="30" t="str">
        <x:v>North America</x:v>
      </x:c>
      <x:c r="F44" s="30" t="str">
        <x:v>Inventory weighing; vessel monitoring</x:v>
      </x:c>
      <x:c r="G44" s="30" t="str">
        <x:v>Strain gauge</x:v>
      </x:c>
      <x:c r="H44" s="30" t="str">
        <x:v>Bolt-on Microcell and load-disc vessel weighing sensors</x:v>
      </x:c>
      <x:c r="I44" s="30" t="str">
        <x:v>A</x:v>
      </x:c>
      <x:c r="J44" s="30" t="str">
        <x:v>First-party material describes patented bolt-on load-sensor designs and manufacture.</x:v>
      </x:c>
      <x:c r="K44" s="30" t="str">
        <x:v>https://www.kistlermorse.com/</x:v>
      </x:c>
      <x:c r="L44" s="30" t="str"/>
      <x:c r="M44" s="30" t="str"/>
      <x:c r="N44" s="37" t="n">
        <x:v>46227</x:v>
      </x:c>
    </x:row>
    <x:row r="45" ht="45" customHeight="1">
      <x:c r="A45" s="34" t="str">
        <x:v>Arlyn Scales</x:v>
      </x:c>
      <x:c r="B45" s="34" t="str"/>
      <x:c r="C45" s="34" t="str">
        <x:v>Arlyn; SAW</x:v>
      </x:c>
      <x:c r="D45" s="34" t="str">
        <x:v>United States</x:v>
      </x:c>
      <x:c r="E45" s="34" t="str">
        <x:v>North America</x:v>
      </x:c>
      <x:c r="F45" s="34" t="str">
        <x:v>Industrial weighing; specialty</x:v>
      </x:c>
      <x:c r="G45" s="34" t="str">
        <x:v>Surface acoustic wave</x:v>
      </x:c>
      <x:c r="H45" s="34" t="str">
        <x:v>SAW load cells and scales for harsh or high-resolution applications</x:v>
      </x:c>
      <x:c r="I45" s="34" t="str">
        <x:v>A</x:v>
      </x:c>
      <x:c r="J45" s="34" t="str">
        <x:v>First-party material identifies Arlyn's proprietary surface-acoustic-wave load-cell technology.</x:v>
      </x:c>
      <x:c r="K45" s="34" t="str">
        <x:v>https://www.arlynscales.com/saw-load-cell-technology/</x:v>
      </x:c>
      <x:c r="L45" s="34" t="str"/>
      <x:c r="M45" s="34" t="str"/>
      <x:c r="N45" s="36" t="n">
        <x:v>46227</x:v>
      </x:c>
    </x:row>
    <x:row r="46" ht="45" customHeight="1">
      <x:c r="A46" s="30" t="str">
        <x:v>Robotiq</x:v>
      </x:c>
      <x:c r="B46" s="30" t="str"/>
      <x:c r="C46" s="30" t="str">
        <x:v>FT 300; FT 300-S</x:v>
      </x:c>
      <x:c r="D46" s="30" t="str">
        <x:v>Canada</x:v>
      </x:c>
      <x:c r="E46" s="30" t="str">
        <x:v>North America</x:v>
      </x:c>
      <x:c r="F46" s="30" t="str">
        <x:v>Robotics; multi-axis force/torque</x:v>
      </x:c>
      <x:c r="G46" s="30" t="str">
        <x:v>Strain gauge</x:v>
      </x:c>
      <x:c r="H46" s="30" t="str">
        <x:v>Robot wrist force/torque sensors</x:v>
      </x:c>
      <x:c r="I46" s="30" t="str">
        <x:v>A</x:v>
      </x:c>
      <x:c r="J46" s="30" t="str">
        <x:v>First-party product material identifies Robotiq's proprietary robotic force/torque sensors.</x:v>
      </x:c>
      <x:c r="K46" s="30" t="str">
        <x:v>https://robotiq.com/products/ft-300-force-torque-sensor</x:v>
      </x:c>
      <x:c r="L46" s="30" t="str"/>
      <x:c r="M46" s="30" t="str"/>
      <x:c r="N46" s="37" t="n">
        <x:v>46227</x:v>
      </x:c>
    </x:row>
    <x:row r="47" ht="45" customHeight="1">
      <x:c r="A47" s="34" t="str">
        <x:v>Dytran Instruments</x:v>
      </x:c>
      <x:c r="B47" s="34" t="str">
        <x:v>Spectris</x:v>
      </x:c>
      <x:c r="C47" s="34" t="str">
        <x:v>Dytran</x:v>
      </x:c>
      <x:c r="D47" s="34" t="str">
        <x:v>United States</x:v>
      </x:c>
      <x:c r="E47" s="34" t="str">
        <x:v>North America</x:v>
      </x:c>
      <x:c r="F47" s="34" t="str">
        <x:v>Dynamic force; aerospace; test</x:v>
      </x:c>
      <x:c r="G47" s="34" t="str">
        <x:v>Piezoelectric</x:v>
      </x:c>
      <x:c r="H47" s="34" t="str">
        <x:v>Dynamic force sensors, impact hammers and load washers</x:v>
      </x:c>
      <x:c r="I47" s="34" t="str">
        <x:v>A</x:v>
      </x:c>
      <x:c r="J47" s="34" t="str">
        <x:v>First-party product material identifies Dytran-manufactured piezoelectric force sensors.</x:v>
      </x:c>
      <x:c r="K47" s="34" t="str">
        <x:v>https://www.dytran.com/</x:v>
      </x:c>
      <x:c r="L47" s="34" t="str"/>
      <x:c r="M47" s="34" t="str"/>
      <x:c r="N47" s="36" t="n">
        <x:v>46227</x:v>
      </x:c>
    </x:row>
    <x:row r="48" ht="45" customHeight="1">
      <x:c r="A48" s="30" t="str">
        <x:v>HBK (Hottinger Brüel &amp; Kjær)</x:v>
      </x:c>
      <x:c r="B48" s="30" t="str">
        <x:v>Spectris</x:v>
      </x:c>
      <x:c r="C48" s="30" t="str">
        <x:v>HBM; Hottinger Baldwin Messtechnik</x:v>
      </x:c>
      <x:c r="D48" s="30" t="str">
        <x:v>Germany</x:v>
      </x:c>
      <x:c r="E48" s="30" t="str">
        <x:v>Europe</x:v>
      </x:c>
      <x:c r="F48" s="30" t="str">
        <x:v>Test &amp; measurement; industrial weighing; OEM</x:v>
      </x:c>
      <x:c r="G48" s="30" t="str">
        <x:v>Strain gauge; piezoelectric</x:v>
      </x:c>
      <x:c r="H48" s="30" t="str">
        <x:v>Precision load cells, force transducers, weighing cells and multi-component sensors</x:v>
      </x:c>
      <x:c r="I48" s="30" t="str">
        <x:v>A</x:v>
      </x:c>
      <x:c r="J48" s="30" t="str">
        <x:v>First-party company material identifies HBK/HBM as a global force-transducer and load-cell manufacturer.</x:v>
      </x:c>
      <x:c r="K48" s="30" t="str">
        <x:v>https://www.hbkworld.com/en/products/transducers/force</x:v>
      </x:c>
      <x:c r="L48" s="30" t="str"/>
      <x:c r="M48" s="30" t="str"/>
      <x:c r="N48" s="37" t="n">
        <x:v>46227</x:v>
      </x:c>
    </x:row>
    <x:row r="49" ht="45" customHeight="1">
      <x:c r="A49" s="34" t="str">
        <x:v>Flintec</x:v>
      </x:c>
      <x:c r="B49" s="34" t="str">
        <x:v>Indutrade</x:v>
      </x:c>
      <x:c r="C49" s="34" t="str">
        <x:v>Flintec</x:v>
      </x:c>
      <x:c r="D49" s="34" t="str">
        <x:v>Sweden</x:v>
      </x:c>
      <x:c r="E49" s="34" t="str">
        <x:v>Europe</x:v>
      </x:c>
      <x:c r="F49" s="34" t="str">
        <x:v>Industrial weighing; medical; OEM; custom</x:v>
      </x:c>
      <x:c r="G49" s="34" t="str">
        <x:v>Strain gauge</x:v>
      </x:c>
      <x:c r="H49" s="34" t="str">
        <x:v>Single-point, beam, canister, planar, medical and custom load cells</x:v>
      </x:c>
      <x:c r="I49" s="34" t="str">
        <x:v>A</x:v>
      </x:c>
      <x:c r="J49" s="34" t="str">
        <x:v>First-party material describes Flintec's global load-cell design and manufacturing operations.</x:v>
      </x:c>
      <x:c r="K49" s="34" t="str">
        <x:v>https://www.flintec.com/</x:v>
      </x:c>
      <x:c r="L49" s="34" t="str"/>
      <x:c r="M49" s="34" t="str"/>
      <x:c r="N49" s="36" t="n">
        <x:v>46227</x:v>
      </x:c>
    </x:row>
    <x:row r="50" ht="45" customHeight="1">
      <x:c r="A50" s="30" t="str">
        <x:v>Minebea Intec</x:v>
      </x:c>
      <x:c r="B50" s="30" t="str">
        <x:v>MinebeaMitsumi</x:v>
      </x:c>
      <x:c r="C50" s="30" t="str">
        <x:v>Minebea Intec; Sartorius Mechatronics legacy</x:v>
      </x:c>
      <x:c r="D50" s="30" t="str">
        <x:v>Germany</x:v>
      </x:c>
      <x:c r="E50" s="30" t="str">
        <x:v>Europe</x:v>
      </x:c>
      <x:c r="F50" s="30" t="str">
        <x:v>Industrial weighing; process; hygienic</x:v>
      </x:c>
      <x:c r="G50" s="30" t="str">
        <x:v>Strain gauge; digital</x:v>
      </x:c>
      <x:c r="H50" s="30" t="str">
        <x:v>Load cells, weigh modules, vessel and process weighing sensors</x:v>
      </x:c>
      <x:c r="I50" s="30" t="str">
        <x:v>A</x:v>
      </x:c>
      <x:c r="J50" s="30" t="str">
        <x:v>First-party material identifies Minebea Intec's own load-cell engineering and production.</x:v>
      </x:c>
      <x:c r="K50" s="30" t="str">
        <x:v>https://www.minebea-intec.com/en/load-cells</x:v>
      </x:c>
      <x:c r="L50" s="30" t="str"/>
      <x:c r="M50" s="30" t="str"/>
      <x:c r="N50" s="37" t="n">
        <x:v>46227</x:v>
      </x:c>
    </x:row>
    <x:row r="51" ht="45" customHeight="1">
      <x:c r="A51" s="34" t="str">
        <x:v>Sartorius Lab Instruments</x:v>
      </x:c>
      <x:c r="B51" s="34" t="str">
        <x:v>Sartorius</x:v>
      </x:c>
      <x:c r="C51" s="34" t="str">
        <x:v>WZA; WZ; OEM weigh cells</x:v>
      </x:c>
      <x:c r="D51" s="34" t="str">
        <x:v>Germany</x:v>
      </x:c>
      <x:c r="E51" s="34" t="str">
        <x:v>Europe</x:v>
      </x:c>
      <x:c r="F51" s="34" t="str">
        <x:v>OEM precision weighing; laboratory; automation</x:v>
      </x:c>
      <x:c r="G51" s="34" t="str">
        <x:v>Electromagnetic force compensation; strain gauge</x:v>
      </x:c>
      <x:c r="H51" s="34" t="str">
        <x:v>OEM weigh cells and load-cell modules for machine integration</x:v>
      </x:c>
      <x:c r="I51" s="34" t="str">
        <x:v>A</x:v>
      </x:c>
      <x:c r="J51" s="34" t="str">
        <x:v>First-party material states that Sartorius designs OEM weigh cells and load-cell modules.</x:v>
      </x:c>
      <x:c r="K51" s="34" t="str">
        <x:v>https://www.sartorius.com/en/products/oem/oem-weigh-cells</x:v>
      </x:c>
      <x:c r="L51" s="34" t="str"/>
      <x:c r="M51" s="34" t="str"/>
      <x:c r="N51" s="36" t="n">
        <x:v>46227</x:v>
      </x:c>
    </x:row>
    <x:row r="52" ht="45" customHeight="1">
      <x:c r="A52" s="30" t="str">
        <x:v>burster präzisionsmesstechnik</x:v>
      </x:c>
      <x:c r="B52" s="30" t="str"/>
      <x:c r="C52" s="30" t="str">
        <x:v>burster</x:v>
      </x:c>
      <x:c r="D52" s="30" t="str">
        <x:v>Germany</x:v>
      </x:c>
      <x:c r="E52" s="30" t="str">
        <x:v>Europe</x:v>
      </x:c>
      <x:c r="F52" s="30" t="str">
        <x:v>Test &amp; measurement; calibration; industrial</x:v>
      </x:c>
      <x:c r="G52" s="30" t="str">
        <x:v>Strain gauge; piezoelectric</x:v>
      </x:c>
      <x:c r="H52" s="30" t="str">
        <x:v>Tension/compression, miniature, ring, bending-beam and reference load cells</x:v>
      </x:c>
      <x:c r="I52" s="30" t="str">
        <x:v>A</x:v>
      </x:c>
      <x:c r="J52" s="30" t="str">
        <x:v>First-party material identifies burster as developer and manufacturer of force sensors.</x:v>
      </x:c>
      <x:c r="K52" s="30" t="str">
        <x:v>https://www.burster.com/en/sensors/force-sensors</x:v>
      </x:c>
      <x:c r="L52" s="30" t="str"/>
      <x:c r="M52" s="30" t="str"/>
      <x:c r="N52" s="37" t="n">
        <x:v>46227</x:v>
      </x:c>
    </x:row>
    <x:row r="53" ht="45" customHeight="1">
      <x:c r="A53" s="34" t="str">
        <x:v>Lorenz Messtechnik</x:v>
      </x:c>
      <x:c r="B53" s="34" t="str"/>
      <x:c r="C53" s="34" t="str">
        <x:v>Lorenz</x:v>
      </x:c>
      <x:c r="D53" s="34" t="str">
        <x:v>Germany</x:v>
      </x:c>
      <x:c r="E53" s="34" t="str">
        <x:v>Europe</x:v>
      </x:c>
      <x:c r="F53" s="34" t="str">
        <x:v>Test &amp; measurement; industrial; custom</x:v>
      </x:c>
      <x:c r="G53" s="34" t="str">
        <x:v>Strain gauge</x:v>
      </x:c>
      <x:c r="H53" s="34" t="str">
        <x:v>Force transducers, load cells, torque sensors and custom measurement systems</x:v>
      </x:c>
      <x:c r="I53" s="34" t="str">
        <x:v>A</x:v>
      </x:c>
      <x:c r="J53" s="34" t="str">
        <x:v>First-party material explicitly describes development and manufacture of force and torque transducers.</x:v>
      </x:c>
      <x:c r="K53" s="34" t="str">
        <x:v>https://www.lorenz-messtechnik.de/english/products/force-sensors/</x:v>
      </x:c>
      <x:c r="L53" s="34" t="str"/>
      <x:c r="M53" s="34" t="str"/>
      <x:c r="N53" s="36" t="n">
        <x:v>46227</x:v>
      </x:c>
    </x:row>
    <x:row r="54" ht="45" customHeight="1">
      <x:c r="A54" s="30" t="str">
        <x:v>GTM Testing and Metrology</x:v>
      </x:c>
      <x:c r="B54" s="30" t="str"/>
      <x:c r="C54" s="30" t="str">
        <x:v>GTM</x:v>
      </x:c>
      <x:c r="D54" s="30" t="str">
        <x:v>Germany</x:v>
      </x:c>
      <x:c r="E54" s="30" t="str">
        <x:v>Europe</x:v>
      </x:c>
      <x:c r="F54" s="30" t="str">
        <x:v>Force calibration; reference standards; multi-component</x:v>
      </x:c>
      <x:c r="G54" s="30" t="str">
        <x:v>Strain gauge</x:v>
      </x:c>
      <x:c r="H54" s="30" t="str">
        <x:v>Reference force transducers, build-up systems and multi-component sensors</x:v>
      </x:c>
      <x:c r="I54" s="30" t="str">
        <x:v>A</x:v>
      </x:c>
      <x:c r="J54" s="30" t="str">
        <x:v>First-party material documents development and production of high-precision force transducers in Germany.</x:v>
      </x:c>
      <x:c r="K54" s="30" t="str">
        <x:v>https://www.gtm-gmbh.com/en/</x:v>
      </x:c>
      <x:c r="L54" s="30" t="str"/>
      <x:c r="M54" s="30" t="str"/>
      <x:c r="N54" s="37" t="n">
        <x:v>46227</x:v>
      </x:c>
    </x:row>
    <x:row r="55" ht="45" customHeight="1">
      <x:c r="A55" s="34" t="str">
        <x:v>ME-Meßsysteme</x:v>
      </x:c>
      <x:c r="B55" s="34" t="str"/>
      <x:c r="C55" s="34" t="str">
        <x:v>ME-Systeme</x:v>
      </x:c>
      <x:c r="D55" s="34" t="str">
        <x:v>Germany</x:v>
      </x:c>
      <x:c r="E55" s="34" t="str">
        <x:v>Europe</x:v>
      </x:c>
      <x:c r="F55" s="34" t="str">
        <x:v>Multi-axis; OEM; robotics; test</x:v>
      </x:c>
      <x:c r="G55" s="34" t="str">
        <x:v>Strain gauge</x:v>
      </x:c>
      <x:c r="H55" s="34" t="str">
        <x:v>Single- and multi-axis force sensors, load cells and custom transducers</x:v>
      </x:c>
      <x:c r="I55" s="34" t="str">
        <x:v>A</x:v>
      </x:c>
      <x:c r="J55" s="34" t="str">
        <x:v>First-party material identifies in-house development and production of force sensors.</x:v>
      </x:c>
      <x:c r="K55" s="34" t="str">
        <x:v>https://www.me-systeme.de/en/</x:v>
      </x:c>
      <x:c r="L55" s="34" t="str"/>
      <x:c r="M55" s="34" t="str"/>
      <x:c r="N55" s="36" t="n">
        <x:v>46227</x:v>
      </x:c>
    </x:row>
    <x:row r="56" ht="45" customHeight="1">
      <x:c r="A56" s="30" t="str">
        <x:v>WIKA Alexander Wiegand / tecsis</x:v>
      </x:c>
      <x:c r="B56" s="30" t="str">
        <x:v>WIKA Group</x:v>
      </x:c>
      <x:c r="C56" s="30" t="str">
        <x:v>tecsis; WIKA</x:v>
      </x:c>
      <x:c r="D56" s="30" t="str">
        <x:v>Germany</x:v>
      </x:c>
      <x:c r="E56" s="30" t="str">
        <x:v>Europe</x:v>
      </x:c>
      <x:c r="F56" s="30" t="str">
        <x:v>Industrial; lifting; test; process</x:v>
      </x:c>
      <x:c r="G56" s="30" t="str">
        <x:v>Strain gauge; hydraulic</x:v>
      </x:c>
      <x:c r="H56" s="30" t="str">
        <x:v>Force transducers, load pins, tension/compression cells and hydraulic force sensors</x:v>
      </x:c>
      <x:c r="I56" s="30" t="str">
        <x:v>A</x:v>
      </x:c>
      <x:c r="J56" s="30" t="str">
        <x:v>First-party WIKA material states that the force portfolio is developed and manufactured in-house.</x:v>
      </x:c>
      <x:c r="K56" s="30" t="str">
        <x:v>https://www.wika.com/en-en/force.WIKA</x:v>
      </x:c>
      <x:c r="L56" s="30" t="str"/>
      <x:c r="M56" s="30" t="str"/>
      <x:c r="N56" s="37" t="n">
        <x:v>46227</x:v>
      </x:c>
    </x:row>
    <x:row r="57" ht="45" customHeight="1">
      <x:c r="A57" s="34" t="str">
        <x:v>HAEHNE Elektronische Messgeräte</x:v>
      </x:c>
      <x:c r="B57" s="34" t="str"/>
      <x:c r="C57" s="34" t="str">
        <x:v>HAEHNE</x:v>
      </x:c>
      <x:c r="D57" s="34" t="str">
        <x:v>Germany</x:v>
      </x:c>
      <x:c r="E57" s="34" t="str">
        <x:v>Europe</x:v>
      </x:c>
      <x:c r="F57" s="34" t="str">
        <x:v>Web tension; industrial force</x:v>
      </x:c>
      <x:c r="G57" s="34" t="str">
        <x:v>Strain gauge</x:v>
      </x:c>
      <x:c r="H57" s="34" t="str">
        <x:v>Web-tension load cells, force sensors and measuring blocks</x:v>
      </x:c>
      <x:c r="I57" s="34" t="str">
        <x:v>A</x:v>
      </x:c>
      <x:c r="J57" s="34" t="str">
        <x:v>First-party material describes development and production of force-measuring equipment.</x:v>
      </x:c>
      <x:c r="K57" s="34" t="str">
        <x:v>https://www.haehne.de/en/</x:v>
      </x:c>
      <x:c r="L57" s="34" t="str"/>
      <x:c r="M57" s="34" t="str"/>
      <x:c r="N57" s="36" t="n">
        <x:v>46227</x:v>
      </x:c>
    </x:row>
    <x:row r="58" ht="45" customHeight="1">
      <x:c r="A58" s="30" t="str">
        <x:v>Soemer</x:v>
      </x:c>
      <x:c r="B58" s="30" t="str"/>
      <x:c r="C58" s="30" t="str">
        <x:v>Soemer</x:v>
      </x:c>
      <x:c r="D58" s="30" t="str">
        <x:v>Germany</x:v>
      </x:c>
      <x:c r="E58" s="30" t="str">
        <x:v>Europe</x:v>
      </x:c>
      <x:c r="F58" s="30" t="str">
        <x:v>Industrial weighing; test; custom</x:v>
      </x:c>
      <x:c r="G58" s="30" t="str">
        <x:v>Strain gauge</x:v>
      </x:c>
      <x:c r="H58" s="30" t="str">
        <x:v>Load cells, weighing cells, force transducers and custom sensors</x:v>
      </x:c>
      <x:c r="I58" s="30" t="str">
        <x:v>A</x:v>
      </x:c>
      <x:c r="J58" s="30" t="str">
        <x:v>First-party product and company material presents Soemer's own load-cell manufacture.</x:v>
      </x:c>
      <x:c r="K58" s="30" t="str">
        <x:v>https://www.soemer.de/</x:v>
      </x:c>
      <x:c r="L58" s="30" t="str"/>
      <x:c r="M58" s="30" t="str"/>
      <x:c r="N58" s="37" t="n">
        <x:v>46227</x:v>
      </x:c>
    </x:row>
    <x:row r="59" ht="45" customHeight="1">
      <x:c r="A59" s="34" t="str">
        <x:v>Inelta Sensorsysteme</x:v>
      </x:c>
      <x:c r="B59" s="34" t="str">
        <x:v>WIKA Group</x:v>
      </x:c>
      <x:c r="C59" s="34" t="str">
        <x:v>Inelta</x:v>
      </x:c>
      <x:c r="D59" s="34" t="str">
        <x:v>Germany</x:v>
      </x:c>
      <x:c r="E59" s="34" t="str">
        <x:v>Europe</x:v>
      </x:c>
      <x:c r="F59" s="34" t="str">
        <x:v>OEM; medical; industrial; custom</x:v>
      </x:c>
      <x:c r="G59" s="34" t="str">
        <x:v>Strain gauge; inductive</x:v>
      </x:c>
      <x:c r="H59" s="34" t="str">
        <x:v>Force sensors, miniature load cells, displacement sensors and custom transducers</x:v>
      </x:c>
      <x:c r="I59" s="34" t="str">
        <x:v>A</x:v>
      </x:c>
      <x:c r="J59" s="34" t="str">
        <x:v>First-party material describes in-house sensor development and production.</x:v>
      </x:c>
      <x:c r="K59" s="34" t="str">
        <x:v>https://www.inelta.de/en/</x:v>
      </x:c>
      <x:c r="L59" s="34" t="str"/>
      <x:c r="M59" s="34" t="str"/>
      <x:c r="N59" s="36" t="n">
        <x:v>46227</x:v>
      </x:c>
    </x:row>
    <x:row r="60" ht="45" customHeight="1">
      <x:c r="A60" s="30" t="str">
        <x:v>ZwickRoell</x:v>
      </x:c>
      <x:c r="B60" s="30" t="str"/>
      <x:c r="C60" s="30" t="str">
        <x:v>Xforce; Xforce HP; Xforce K</x:v>
      </x:c>
      <x:c r="D60" s="30" t="str">
        <x:v>Germany</x:v>
      </x:c>
      <x:c r="E60" s="30" t="str">
        <x:v>Europe</x:v>
      </x:c>
      <x:c r="F60" s="30" t="str">
        <x:v>Materials testing; test machines</x:v>
      </x:c>
      <x:c r="G60" s="30" t="str">
        <x:v>Strain gauge</x:v>
      </x:c>
      <x:c r="H60" s="30" t="str">
        <x:v>Testing-machine load cells and multi-range force-measurement systems</x:v>
      </x:c>
      <x:c r="I60" s="30" t="str">
        <x:v>A</x:v>
      </x:c>
      <x:c r="J60" s="30" t="str">
        <x:v>First-party material describes proprietary Xforce load-cell development for ZwickRoell machines.</x:v>
      </x:c>
      <x:c r="K60" s="30" t="str">
        <x:v>https://www.zwickroell.com/accessories/load-cells/</x:v>
      </x:c>
      <x:c r="L60" s="30" t="str"/>
      <x:c r="M60" s="30" t="str"/>
      <x:c r="N60" s="37" t="n">
        <x:v>46227</x:v>
      </x:c>
    </x:row>
    <x:row r="61" ht="45" customHeight="1">
      <x:c r="A61" s="34" t="str">
        <x:v>Erhardt+Leimer</x:v>
      </x:c>
      <x:c r="B61" s="34" t="str"/>
      <x:c r="C61" s="34" t="str">
        <x:v>EL; PD systems</x:v>
      </x:c>
      <x:c r="D61" s="34" t="str">
        <x:v>Germany</x:v>
      </x:c>
      <x:c r="E61" s="34" t="str">
        <x:v>Europe</x:v>
      </x:c>
      <x:c r="F61" s="34" t="str">
        <x:v>Web tension; converting</x:v>
      </x:c>
      <x:c r="G61" s="34" t="str">
        <x:v>Strain gauge</x:v>
      </x:c>
      <x:c r="H61" s="34" t="str">
        <x:v>Tension-measuring transducers, load cells and web-control sensors</x:v>
      </x:c>
      <x:c r="I61" s="34" t="str">
        <x:v>A</x:v>
      </x:c>
      <x:c r="J61" s="34" t="str">
        <x:v>First-party material identifies proprietary tension-measurement transducers.</x:v>
      </x:c>
      <x:c r="K61" s="34" t="str">
        <x:v>https://www.erhardt-leimer.com/</x:v>
      </x:c>
      <x:c r="L61" s="34" t="str"/>
      <x:c r="M61" s="34" t="str"/>
      <x:c r="N61" s="36" t="n">
        <x:v>46227</x:v>
      </x:c>
    </x:row>
    <x:row r="62" ht="45" customHeight="1">
      <x:c r="A62" s="30" t="str">
        <x:v>ABB Force Measurement</x:v>
      </x:c>
      <x:c r="B62" s="30" t="str">
        <x:v>ABB</x:v>
      </x:c>
      <x:c r="C62" s="30" t="str">
        <x:v>Pressductor; Millmate; PillowBlock</x:v>
      </x:c>
      <x:c r="D62" s="30" t="str">
        <x:v>Switzerland</x:v>
      </x:c>
      <x:c r="E62" s="30" t="str">
        <x:v>Europe</x:v>
      </x:c>
      <x:c r="F62" s="30" t="str">
        <x:v>Rolling mills; web tension; industrial</x:v>
      </x:c>
      <x:c r="G62" s="30" t="str">
        <x:v>Magnetoelastic (Pressductor)</x:v>
      </x:c>
      <x:c r="H62" s="30" t="str">
        <x:v>Rolling-force, strip-tension, web-tension and pillow-block load cells</x:v>
      </x:c>
      <x:c r="I62" s="30" t="str">
        <x:v>A</x:v>
      </x:c>
      <x:c r="J62" s="30" t="str">
        <x:v>First-party material identifies ABB's proprietary Pressductor force-sensor design and manufacture.</x:v>
      </x:c>
      <x:c r="K62" s="30" t="str">
        <x:v>https://new.abb.com/measurement-products/force-measurement</x:v>
      </x:c>
      <x:c r="L62" s="30" t="str"/>
      <x:c r="M62" s="30" t="str"/>
      <x:c r="N62" s="37" t="n">
        <x:v>46227</x:v>
      </x:c>
    </x:row>
    <x:row r="63" ht="45" customHeight="1">
      <x:c r="A63" s="34" t="str">
        <x:v>SCAIME</x:v>
      </x:c>
      <x:c r="B63" s="34" t="str"/>
      <x:c r="C63" s="34" t="str">
        <x:v>SCAIME</x:v>
      </x:c>
      <x:c r="D63" s="34" t="str">
        <x:v>France</x:v>
      </x:c>
      <x:c r="E63" s="34" t="str">
        <x:v>Europe</x:v>
      </x:c>
      <x:c r="F63" s="34" t="str">
        <x:v>Industrial weighing; process; OEM</x:v>
      </x:c>
      <x:c r="G63" s="34" t="str">
        <x:v>Strain gauge; digital</x:v>
      </x:c>
      <x:c r="H63" s="34" t="str">
        <x:v>Single-point, beam, compression, tension and digital load cells</x:v>
      </x:c>
      <x:c r="I63" s="34" t="str">
        <x:v>A</x:v>
      </x:c>
      <x:c r="J63" s="34" t="str">
        <x:v>First-party product and company material identifies SCAIME as a load-cell designer and manufacturer.</x:v>
      </x:c>
      <x:c r="K63" s="34" t="str">
        <x:v>https://www.scaime.com/</x:v>
      </x:c>
      <x:c r="L63" s="34" t="str"/>
      <x:c r="M63" s="34" t="str"/>
      <x:c r="N63" s="36" t="n">
        <x:v>46227</x:v>
      </x:c>
    </x:row>
    <x:row r="64" ht="45" customHeight="1">
      <x:c r="A64" s="30" t="str">
        <x:v>Crouzet</x:v>
      </x:c>
      <x:c r="B64" s="30" t="str">
        <x:v>LBO France</x:v>
      </x:c>
      <x:c r="C64" s="30" t="str">
        <x:v>Crouzet</x:v>
      </x:c>
      <x:c r="D64" s="30" t="str">
        <x:v>France</x:v>
      </x:c>
      <x:c r="E64" s="30" t="str">
        <x:v>Europe</x:v>
      </x:c>
      <x:c r="F64" s="30" t="str">
        <x:v>Aerospace; structural test; custom OEM</x:v>
      </x:c>
      <x:c r="G64" s="30" t="str">
        <x:v>Strain gauge</x:v>
      </x:c>
      <x:c r="H64" s="30" t="str">
        <x:v>Structural force transducers and custom load cells</x:v>
      </x:c>
      <x:c r="I64" s="30" t="str">
        <x:v>A</x:v>
      </x:c>
      <x:c r="J64" s="30" t="str">
        <x:v>First-party material explicitly states decades of designing and manufacturing force transducers.</x:v>
      </x:c>
      <x:c r="K64" s="30" t="str">
        <x:v>https://www.crouzet.com/products/sensing-and-switching/force-sensors/</x:v>
      </x:c>
      <x:c r="L64" s="30" t="str"/>
      <x:c r="M64" s="30" t="str"/>
      <x:c r="N64" s="37" t="n">
        <x:v>46227</x:v>
      </x:c>
    </x:row>
    <x:row r="65" ht="45" customHeight="1">
      <x:c r="A65" s="34" t="str">
        <x:v>Sensel Measurement</x:v>
      </x:c>
      <x:c r="B65" s="34" t="str"/>
      <x:c r="C65" s="34" t="str">
        <x:v>Sensel</x:v>
      </x:c>
      <x:c r="D65" s="34" t="str">
        <x:v>France</x:v>
      </x:c>
      <x:c r="E65" s="34" t="str">
        <x:v>Europe</x:v>
      </x:c>
      <x:c r="F65" s="34" t="str">
        <x:v>Industrial; test; aerospace; custom</x:v>
      </x:c>
      <x:c r="G65" s="34" t="str">
        <x:v>Strain gauge</x:v>
      </x:c>
      <x:c r="H65" s="34" t="str">
        <x:v>Force transducers, load cells, torque sensors and custom instrumentation</x:v>
      </x:c>
      <x:c r="I65" s="34" t="str">
        <x:v>A</x:v>
      </x:c>
      <x:c r="J65" s="34" t="str">
        <x:v>First-party material identifies design and manufacture of force and torque sensors.</x:v>
      </x:c>
      <x:c r="K65" s="34" t="str">
        <x:v>https://www.sensel-measurement.fr/</x:v>
      </x:c>
      <x:c r="L65" s="34" t="str"/>
      <x:c r="M65" s="34" t="str"/>
      <x:c r="N65" s="36" t="n">
        <x:v>46227</x:v>
      </x:c>
    </x:row>
    <x:row r="66" ht="45" customHeight="1">
      <x:c r="A66" s="30" t="str">
        <x:v>SENSY</x:v>
      </x:c>
      <x:c r="B66" s="30" t="str"/>
      <x:c r="C66" s="30" t="str">
        <x:v>SENSY</x:v>
      </x:c>
      <x:c r="D66" s="30" t="str">
        <x:v>Belgium</x:v>
      </x:c>
      <x:c r="E66" s="30" t="str">
        <x:v>Europe</x:v>
      </x:c>
      <x:c r="F66" s="30" t="str">
        <x:v>Industrial weighing; lifting; test; process</x:v>
      </x:c>
      <x:c r="G66" s="30" t="str">
        <x:v>Strain gauge</x:v>
      </x:c>
      <x:c r="H66" s="30" t="str">
        <x:v>Load cells, load pins, force transducers, overload sensors and custom cells</x:v>
      </x:c>
      <x:c r="I66" s="30" t="str">
        <x:v>A</x:v>
      </x:c>
      <x:c r="J66" s="30" t="str">
        <x:v>First-party material identifies SENSY as a Belgian designer and manufacturer of load cells.</x:v>
      </x:c>
      <x:c r="K66" s="30" t="str">
        <x:v>https://www.sensy.com/</x:v>
      </x:c>
      <x:c r="L66" s="30" t="str"/>
      <x:c r="M66" s="30" t="str"/>
      <x:c r="N66" s="37" t="n">
        <x:v>46227</x:v>
      </x:c>
    </x:row>
    <x:row r="67" ht="45" customHeight="1">
      <x:c r="A67" s="34" t="str">
        <x:v>BCM Sensor Technologies</x:v>
      </x:c>
      <x:c r="B67" s="34" t="str"/>
      <x:c r="C67" s="34" t="str">
        <x:v>BCM Sensor</x:v>
      </x:c>
      <x:c r="D67" s="34" t="str">
        <x:v>Belgium</x:v>
      </x:c>
      <x:c r="E67" s="34" t="str">
        <x:v>Europe</x:v>
      </x:c>
      <x:c r="F67" s="34" t="str">
        <x:v>OEM; industrial; automotive; medical</x:v>
      </x:c>
      <x:c r="G67" s="34" t="str">
        <x:v>Strain gauge; piezoresistive</x:v>
      </x:c>
      <x:c r="H67" s="34" t="str">
        <x:v>Load cells, force sensors, strain gauges and custom transducers</x:v>
      </x:c>
      <x:c r="I67" s="34" t="str">
        <x:v>B</x:v>
      </x:c>
      <x:c r="J67" s="34" t="str">
        <x:v>First-party product catalogs and technical materials identify BCM-designed sensor families; explicit manufacturing language is less prominent.</x:v>
      </x:c>
      <x:c r="K67" s="34" t="str">
        <x:v>https://www.bcmsensor.com/</x:v>
      </x:c>
      <x:c r="L67" s="34" t="str"/>
      <x:c r="M67" s="34" t="str"/>
      <x:c r="N67" s="36" t="n">
        <x:v>46227</x:v>
      </x:c>
    </x:row>
    <x:row r="68" ht="45" customHeight="1">
      <x:c r="A68" s="30" t="str">
        <x:v>UTILCELL</x:v>
      </x:c>
      <x:c r="B68" s="30" t="str"/>
      <x:c r="C68" s="30" t="str">
        <x:v>UTILCELL</x:v>
      </x:c>
      <x:c r="D68" s="30" t="str">
        <x:v>Spain</x:v>
      </x:c>
      <x:c r="E68" s="30" t="str">
        <x:v>Europe</x:v>
      </x:c>
      <x:c r="F68" s="30" t="str">
        <x:v>Industrial weighing; process; vehicle scales</x:v>
      </x:c>
      <x:c r="G68" s="30" t="str">
        <x:v>Strain gauge</x:v>
      </x:c>
      <x:c r="H68" s="30" t="str">
        <x:v>Single-point, beam, compression, tension, digital and high-capacity load cells</x:v>
      </x:c>
      <x:c r="I68" s="30" t="str">
        <x:v>A</x:v>
      </x:c>
      <x:c r="J68" s="30" t="str">
        <x:v>First-party material explicitly describes design and manufacture of load cells in Spain.</x:v>
      </x:c>
      <x:c r="K68" s="30" t="str">
        <x:v>https://www.utilcell.es/</x:v>
      </x:c>
      <x:c r="L68" s="30" t="str"/>
      <x:c r="M68" s="30" t="str"/>
      <x:c r="N68" s="37" t="n">
        <x:v>46227</x:v>
      </x:c>
    </x:row>
    <x:row r="69" ht="45" customHeight="1">
      <x:c r="A69" s="34" t="str">
        <x:v>SENSOCAR</x:v>
      </x:c>
      <x:c r="B69" s="34" t="str"/>
      <x:c r="C69" s="34" t="str">
        <x:v>SENSOCAR</x:v>
      </x:c>
      <x:c r="D69" s="34" t="str">
        <x:v>Spain</x:v>
      </x:c>
      <x:c r="E69" s="34" t="str">
        <x:v>Europe</x:v>
      </x:c>
      <x:c r="F69" s="34" t="str">
        <x:v>Industrial weighing; process; lifting</x:v>
      </x:c>
      <x:c r="G69" s="34" t="str">
        <x:v>Strain gauge</x:v>
      </x:c>
      <x:c r="H69" s="34" t="str">
        <x:v>Load cells, weighing modules, load pins and custom transducers</x:v>
      </x:c>
      <x:c r="I69" s="34" t="str">
        <x:v>A</x:v>
      </x:c>
      <x:c r="J69" s="34" t="str">
        <x:v>First-party company material presents in-house load-cell design and production.</x:v>
      </x:c>
      <x:c r="K69" s="34" t="str">
        <x:v>https://sensocar.com/</x:v>
      </x:c>
      <x:c r="L69" s="34" t="str"/>
      <x:c r="M69" s="34" t="str"/>
      <x:c r="N69" s="36" t="n">
        <x:v>46227</x:v>
      </x:c>
    </x:row>
    <x:row r="70" ht="45" customHeight="1">
      <x:c r="A70" s="30" t="str">
        <x:v>DINACELL Electrónica</x:v>
      </x:c>
      <x:c r="B70" s="30" t="str"/>
      <x:c r="C70" s="30" t="str">
        <x:v>DINACELL</x:v>
      </x:c>
      <x:c r="D70" s="30" t="str">
        <x:v>Spain</x:v>
      </x:c>
      <x:c r="E70" s="30" t="str">
        <x:v>Europe</x:v>
      </x:c>
      <x:c r="F70" s="30" t="str">
        <x:v>Elevator weighing; lifting</x:v>
      </x:c>
      <x:c r="G70" s="30" t="str">
        <x:v>Strain gauge</x:v>
      </x:c>
      <x:c r="H70" s="30" t="str">
        <x:v>Elevator rope sensors, load cells and overload-control sensors</x:v>
      </x:c>
      <x:c r="I70" s="30" t="str">
        <x:v>A</x:v>
      </x:c>
      <x:c r="J70" s="30" t="str">
        <x:v>First-party material describes DINACELL's design and manufacture of elevator load sensors.</x:v>
      </x:c>
      <x:c r="K70" s="30" t="str">
        <x:v>https://dinacell.com/</x:v>
      </x:c>
      <x:c r="L70" s="30" t="str"/>
      <x:c r="M70" s="30" t="str"/>
      <x:c r="N70" s="37" t="n">
        <x:v>46227</x:v>
      </x:c>
    </x:row>
    <x:row r="71" ht="45" customHeight="1">
      <x:c r="A71" s="34" t="str">
        <x:v>Eilersen Electric Digital Systems</x:v>
      </x:c>
      <x:c r="B71" s="34" t="str"/>
      <x:c r="C71" s="34" t="str">
        <x:v>Eilersen</x:v>
      </x:c>
      <x:c r="D71" s="34" t="str">
        <x:v>Denmark</x:v>
      </x:c>
      <x:c r="E71" s="34" t="str">
        <x:v>Europe</x:v>
      </x:c>
      <x:c r="F71" s="34" t="str">
        <x:v>Hygienic process weighing; industrial; offshore</x:v>
      </x:c>
      <x:c r="G71" s="34" t="str">
        <x:v>Capacitive</x:v>
      </x:c>
      <x:c r="H71" s="34" t="str">
        <x:v>Digital capacitive load cells, beam cells and compression cells</x:v>
      </x:c>
      <x:c r="I71" s="34" t="str">
        <x:v>A</x:v>
      </x:c>
      <x:c r="J71" s="34" t="str">
        <x:v>First-party material explicitly describes development and manufacture of capacitive load cells.</x:v>
      </x:c>
      <x:c r="K71" s="34" t="str">
        <x:v>https://www.eilersen.com/</x:v>
      </x:c>
      <x:c r="L71" s="34" t="str"/>
      <x:c r="M71" s="34" t="str"/>
      <x:c r="N71" s="36" t="n">
        <x:v>46227</x:v>
      </x:c>
    </x:row>
    <x:row r="72" ht="45" customHeight="1">
      <x:c r="A72" s="30" t="str">
        <x:v>Kistler Group</x:v>
      </x:c>
      <x:c r="B72" s="30" t="str"/>
      <x:c r="C72" s="30" t="str">
        <x:v>Kistler</x:v>
      </x:c>
      <x:c r="D72" s="30" t="str">
        <x:v>Switzerland</x:v>
      </x:c>
      <x:c r="E72" s="30" t="str">
        <x:v>Europe</x:v>
      </x:c>
      <x:c r="F72" s="30" t="str">
        <x:v>Dynamic force; manufacturing; biomechanics; test</x:v>
      </x:c>
      <x:c r="G72" s="30" t="str">
        <x:v>Piezoelectric; strain gauge</x:v>
      </x:c>
      <x:c r="H72" s="30" t="str">
        <x:v>Force links, load washers, dynamometers, multi-component and strain-gauge load cells</x:v>
      </x:c>
      <x:c r="I72" s="30" t="str">
        <x:v>A</x:v>
      </x:c>
      <x:c r="J72" s="30" t="str">
        <x:v>First-party material identifies Kistler as the developer and manufacturer of force sensors.</x:v>
      </x:c>
      <x:c r="K72" s="30" t="str">
        <x:v>https://www.kistler.com/US/en/cp/force-sensors/</x:v>
      </x:c>
      <x:c r="L72" s="30" t="str"/>
      <x:c r="M72" s="30" t="str"/>
      <x:c r="N72" s="37" t="n">
        <x:v>46227</x:v>
      </x:c>
    </x:row>
    <x:row r="73" ht="45" customHeight="1">
      <x:c r="A73" s="34" t="str">
        <x:v>FMS Force Measuring Systems</x:v>
      </x:c>
      <x:c r="B73" s="34" t="str"/>
      <x:c r="C73" s="34" t="str">
        <x:v>FMS</x:v>
      </x:c>
      <x:c r="D73" s="34" t="str">
        <x:v>Switzerland</x:v>
      </x:c>
      <x:c r="E73" s="34" t="str">
        <x:v>Europe</x:v>
      </x:c>
      <x:c r="F73" s="34" t="str">
        <x:v>Web tension; wire and cable; converting</x:v>
      </x:c>
      <x:c r="G73" s="34" t="str">
        <x:v>Strain gauge</x:v>
      </x:c>
      <x:c r="H73" s="34" t="str">
        <x:v>Tension-measuring load cells, force sensors and web-guiding sensors</x:v>
      </x:c>
      <x:c r="I73" s="34" t="str">
        <x:v>A</x:v>
      </x:c>
      <x:c r="J73" s="34" t="str">
        <x:v>First-party material identifies Swiss development and manufacture of force-measurement systems.</x:v>
      </x:c>
      <x:c r="K73" s="34" t="str">
        <x:v>https://www.fms-technology.com/</x:v>
      </x:c>
      <x:c r="L73" s="34" t="str"/>
      <x:c r="M73" s="34" t="str"/>
      <x:c r="N73" s="36" t="n">
        <x:v>46227</x:v>
      </x:c>
    </x:row>
    <x:row r="74" ht="45" customHeight="1">
      <x:c r="A74" s="30" t="str">
        <x:v>X-Sensors</x:v>
      </x:c>
      <x:c r="B74" s="30" t="str"/>
      <x:c r="C74" s="30" t="str">
        <x:v>X-Sensors</x:v>
      </x:c>
      <x:c r="D74" s="30" t="str">
        <x:v>Switzerland</x:v>
      </x:c>
      <x:c r="E74" s="30" t="str">
        <x:v>Europe</x:v>
      </x:c>
      <x:c r="F74" s="30" t="str">
        <x:v>Industrial; medical; automotive; OEM</x:v>
      </x:c>
      <x:c r="G74" s="30" t="str">
        <x:v>Strain gauge</x:v>
      </x:c>
      <x:c r="H74" s="30" t="str">
        <x:v>Miniature force sensors, load cells, pedals and custom transducers</x:v>
      </x:c>
      <x:c r="I74" s="30" t="str">
        <x:v>A</x:v>
      </x:c>
      <x:c r="J74" s="30" t="str">
        <x:v>First-party material describes development and manufacture of force and load sensors.</x:v>
      </x:c>
      <x:c r="K74" s="30" t="str">
        <x:v>https://www.x-sensors.com/</x:v>
      </x:c>
      <x:c r="L74" s="30" t="str"/>
      <x:c r="M74" s="30" t="str"/>
      <x:c r="N74" s="37" t="n">
        <x:v>46227</x:v>
      </x:c>
    </x:row>
    <x:row r="75" ht="45" customHeight="1">
      <x:c r="A75" s="34" t="str">
        <x:v>Baumer Electric</x:v>
      </x:c>
      <x:c r="B75" s="34" t="str">
        <x:v>Baumer Group</x:v>
      </x:c>
      <x:c r="C75" s="34" t="str">
        <x:v>Baumer</x:v>
      </x:c>
      <x:c r="D75" s="34" t="str">
        <x:v>Switzerland</x:v>
      </x:c>
      <x:c r="E75" s="34" t="str">
        <x:v>Europe</x:v>
      </x:c>
      <x:c r="F75" s="34" t="str">
        <x:v>Industrial automation; press force; OEM</x:v>
      </x:c>
      <x:c r="G75" s="34" t="str">
        <x:v>Strain gauge</x:v>
      </x:c>
      <x:c r="H75" s="34" t="str">
        <x:v>Force sensors, strain sensors and press-force transducers</x:v>
      </x:c>
      <x:c r="I75" s="34" t="str">
        <x:v>A</x:v>
      </x:c>
      <x:c r="J75" s="34" t="str">
        <x:v>First-party material identifies Baumer's own force-sensor product development.</x:v>
      </x:c>
      <x:c r="K75" s="34" t="str">
        <x:v>https://www.baumer.com/us/en/product-overview/process-sensors/force-and-strain-sensors/c/423</x:v>
      </x:c>
      <x:c r="L75" s="34" t="str"/>
      <x:c r="M75" s="34" t="str"/>
      <x:c r="N75" s="36" t="n">
        <x:v>46227</x:v>
      </x:c>
    </x:row>
    <x:row r="76" ht="45" customHeight="1">
      <x:c r="A76" s="30" t="str">
        <x:v>Bota Systems</x:v>
      </x:c>
      <x:c r="B76" s="30" t="str">
        <x:v>ATI Industrial Automation / Novanta</x:v>
      </x:c>
      <x:c r="C76" s="30" t="str">
        <x:v>Bota Systems</x:v>
      </x:c>
      <x:c r="D76" s="30" t="str">
        <x:v>Switzerland</x:v>
      </x:c>
      <x:c r="E76" s="30" t="str">
        <x:v>Europe</x:v>
      </x:c>
      <x:c r="F76" s="30" t="str">
        <x:v>Robotics; multi-axis force/torque</x:v>
      </x:c>
      <x:c r="G76" s="30" t="str">
        <x:v>Strain gauge</x:v>
      </x:c>
      <x:c r="H76" s="30" t="str">
        <x:v>Six-axis force/torque sensors for robot wrists and end effectors</x:v>
      </x:c>
      <x:c r="I76" s="30" t="str">
        <x:v>A</x:v>
      </x:c>
      <x:c r="J76" s="30" t="str">
        <x:v>First-party material identifies proprietary Swiss-designed force/torque sensors.</x:v>
      </x:c>
      <x:c r="K76" s="30" t="str">
        <x:v>https://www.botasys.com/</x:v>
      </x:c>
      <x:c r="L76" s="30" t="str"/>
      <x:c r="M76" s="30" t="str"/>
      <x:c r="N76" s="37" t="n">
        <x:v>46227</x:v>
      </x:c>
    </x:row>
    <x:row r="77" ht="45" customHeight="1">
      <x:c r="A77" s="34" t="str">
        <x:v>LAUMAS Elettronica</x:v>
      </x:c>
      <x:c r="B77" s="34" t="str"/>
      <x:c r="C77" s="34" t="str">
        <x:v>LAUMAS</x:v>
      </x:c>
      <x:c r="D77" s="34" t="str">
        <x:v>Italy</x:v>
      </x:c>
      <x:c r="E77" s="34" t="str">
        <x:v>Europe</x:v>
      </x:c>
      <x:c r="F77" s="34" t="str">
        <x:v>Industrial weighing; process; OEM</x:v>
      </x:c>
      <x:c r="G77" s="34" t="str">
        <x:v>Strain gauge</x:v>
      </x:c>
      <x:c r="H77" s="34" t="str">
        <x:v>Single-point, beam, compression, tension and custom load cells</x:v>
      </x:c>
      <x:c r="I77" s="34" t="str">
        <x:v>A</x:v>
      </x:c>
      <x:c r="J77" s="34" t="str">
        <x:v>First-party material explicitly states that LAUMAS designs and produces load cells.</x:v>
      </x:c>
      <x:c r="K77" s="34" t="str">
        <x:v>https://www.laumas.com/en/</x:v>
      </x:c>
      <x:c r="L77" s="34" t="str"/>
      <x:c r="M77" s="34" t="str"/>
      <x:c r="N77" s="36" t="n">
        <x:v>46227</x:v>
      </x:c>
    </x:row>
    <x:row r="78" ht="45" customHeight="1">
      <x:c r="A78" s="30" t="str">
        <x:v>Pavone Sistemi</x:v>
      </x:c>
      <x:c r="B78" s="30" t="str"/>
      <x:c r="C78" s="30" t="str">
        <x:v>Pavone Sistemi</x:v>
      </x:c>
      <x:c r="D78" s="30" t="str">
        <x:v>Italy</x:v>
      </x:c>
      <x:c r="E78" s="30" t="str">
        <x:v>Europe</x:v>
      </x:c>
      <x:c r="F78" s="30" t="str">
        <x:v>Industrial weighing; process; automation</x:v>
      </x:c>
      <x:c r="G78" s="30" t="str">
        <x:v>Strain gauge</x:v>
      </x:c>
      <x:c r="H78" s="30" t="str">
        <x:v>Load cells, weighing modules and force-measurement components</x:v>
      </x:c>
      <x:c r="I78" s="30" t="str">
        <x:v>B</x:v>
      </x:c>
      <x:c r="J78" s="30" t="str">
        <x:v>ATEX/OIML manufacturer records and first-party product materials identify Pavone as the maker.</x:v>
      </x:c>
      <x:c r="K78" s="30" t="str">
        <x:v>https://www.pavonesistemi.com/</x:v>
      </x:c>
      <x:c r="L78" s="30" t="str">
        <x:v>https://www.oiml.org/en/oiml-cs/certificate-search</x:v>
      </x:c>
      <x:c r="M78" s="30" t="str"/>
      <x:c r="N78" s="37" t="n">
        <x:v>46227</x:v>
      </x:c>
    </x:row>
    <x:row r="79" ht="45" customHeight="1">
      <x:c r="A79" s="34" t="str">
        <x:v>CELMI</x:v>
      </x:c>
      <x:c r="B79" s="34" t="str"/>
      <x:c r="C79" s="34" t="str">
        <x:v>CELMI</x:v>
      </x:c>
      <x:c r="D79" s="34" t="str">
        <x:v>Italy</x:v>
      </x:c>
      <x:c r="E79" s="34" t="str">
        <x:v>Europe</x:v>
      </x:c>
      <x:c r="F79" s="34" t="str">
        <x:v>Industrial weighing; process; lifting</x:v>
      </x:c>
      <x:c r="G79" s="34" t="str">
        <x:v>Strain gauge</x:v>
      </x:c>
      <x:c r="H79" s="34" t="str">
        <x:v>Beam, compression, tension, pin and custom load cells</x:v>
      </x:c>
      <x:c r="I79" s="34" t="str">
        <x:v>A</x:v>
      </x:c>
      <x:c r="J79" s="34" t="str">
        <x:v>First-party material identifies CELMI's load-cell design and manufacturing activities.</x:v>
      </x:c>
      <x:c r="K79" s="34" t="str">
        <x:v>https://www.celmi.com/</x:v>
      </x:c>
      <x:c r="L79" s="34" t="str"/>
      <x:c r="M79" s="34" t="str"/>
      <x:c r="N79" s="36" t="n">
        <x:v>46227</x:v>
      </x:c>
    </x:row>
    <x:row r="80" ht="45" customHeight="1">
      <x:c r="A80" s="30" t="str">
        <x:v>AEP Transducers</x:v>
      </x:c>
      <x:c r="B80" s="30" t="str"/>
      <x:c r="C80" s="30" t="str">
        <x:v>AEP</x:v>
      </x:c>
      <x:c r="D80" s="30" t="str">
        <x:v>Italy</x:v>
      </x:c>
      <x:c r="E80" s="30" t="str">
        <x:v>Europe</x:v>
      </x:c>
      <x:c r="F80" s="30" t="str">
        <x:v>Test &amp; measurement; industrial; calibration</x:v>
      </x:c>
      <x:c r="G80" s="30" t="str">
        <x:v>Strain gauge</x:v>
      </x:c>
      <x:c r="H80" s="30" t="str">
        <x:v>Force transducers, load cells, torque and pressure sensors</x:v>
      </x:c>
      <x:c r="I80" s="30" t="str">
        <x:v>A</x:v>
      </x:c>
      <x:c r="J80" s="30" t="str">
        <x:v>First-party material describes Italian design and manufacture of measurement transducers.</x:v>
      </x:c>
      <x:c r="K80" s="30" t="str">
        <x:v>https://www.aep.it/</x:v>
      </x:c>
      <x:c r="L80" s="30" t="str"/>
      <x:c r="M80" s="30" t="str"/>
      <x:c r="N80" s="37" t="n">
        <x:v>46227</x:v>
      </x:c>
    </x:row>
    <x:row r="81" ht="45" customHeight="1">
      <x:c r="A81" s="34" t="str">
        <x:v>Gefran</x:v>
      </x:c>
      <x:c r="B81" s="34" t="str"/>
      <x:c r="C81" s="34" t="str">
        <x:v>Gefran</x:v>
      </x:c>
      <x:c r="D81" s="34" t="str">
        <x:v>Italy</x:v>
      </x:c>
      <x:c r="E81" s="34" t="str">
        <x:v>Europe</x:v>
      </x:c>
      <x:c r="F81" s="34" t="str">
        <x:v>Industrial automation; plastics; press force</x:v>
      </x:c>
      <x:c r="G81" s="34" t="str">
        <x:v>Strain gauge; piezoresistive</x:v>
      </x:c>
      <x:c r="H81" s="34" t="str">
        <x:v>Force transducers, tie-bar strain sensors and load cells</x:v>
      </x:c>
      <x:c r="I81" s="34" t="str">
        <x:v>A</x:v>
      </x:c>
      <x:c r="J81" s="34" t="str">
        <x:v>First-party company material identifies in-house sensor design and manufacturing, including force-transducer families.</x:v>
      </x:c>
      <x:c r="K81" s="34" t="str">
        <x:v>https://www.gefran.com/products/sensors/force/</x:v>
      </x:c>
      <x:c r="L81" s="34" t="str"/>
      <x:c r="M81" s="34" t="str"/>
      <x:c r="N81" s="36" t="n">
        <x:v>46227</x:v>
      </x:c>
    </x:row>
    <x:row r="82" ht="45" customHeight="1">
      <x:c r="A82" s="30" t="str">
        <x:v>RE S.p.A.</x:v>
      </x:c>
      <x:c r="B82" s="30" t="str"/>
      <x:c r="C82" s="30" t="str">
        <x:v>RE</x:v>
      </x:c>
      <x:c r="D82" s="30" t="str">
        <x:v>Italy</x:v>
      </x:c>
      <x:c r="E82" s="30" t="str">
        <x:v>Europe</x:v>
      </x:c>
      <x:c r="F82" s="30" t="str">
        <x:v>Web tension; converting</x:v>
      </x:c>
      <x:c r="G82" s="30" t="str">
        <x:v>Strain gauge</x:v>
      </x:c>
      <x:c r="H82" s="30" t="str">
        <x:v>Tension load cells, force sensors and web-control systems</x:v>
      </x:c>
      <x:c r="I82" s="30" t="str">
        <x:v>A</x:v>
      </x:c>
      <x:c r="J82" s="30" t="str">
        <x:v>First-party material identifies proprietary tension load-cell design and production.</x:v>
      </x:c>
      <x:c r="K82" s="30" t="str">
        <x:v>https://www.re-spa.com/</x:v>
      </x:c>
      <x:c r="L82" s="30" t="str"/>
      <x:c r="M82" s="30" t="str"/>
      <x:c r="N82" s="37" t="n">
        <x:v>46227</x:v>
      </x:c>
    </x:row>
    <x:row r="83" ht="45" customHeight="1">
      <x:c r="A83" s="34" t="str">
        <x:v>LCM Systems</x:v>
      </x:c>
      <x:c r="B83" s="34" t="str">
        <x:v>Interface, Inc.</x:v>
      </x:c>
      <x:c r="C83" s="34" t="str">
        <x:v>LCM Systems</x:v>
      </x:c>
      <x:c r="D83" s="34" t="str">
        <x:v>United Kingdom</x:v>
      </x:c>
      <x:c r="E83" s="34" t="str">
        <x:v>Europe</x:v>
      </x:c>
      <x:c r="F83" s="34" t="str">
        <x:v>Lifting; offshore; marine; industrial; custom</x:v>
      </x:c>
      <x:c r="G83" s="34" t="str">
        <x:v>Strain gauge</x:v>
      </x:c>
      <x:c r="H83" s="34" t="str">
        <x:v>Load links, load shackles, load pins, compression and custom load cells</x:v>
      </x:c>
      <x:c r="I83" s="34" t="str">
        <x:v>A</x:v>
      </x:c>
      <x:c r="J83" s="34" t="str">
        <x:v>First-party material explicitly describes UK design and manufacture; LCM remains an operating manufacturer under Interface.</x:v>
      </x:c>
      <x:c r="K83" s="34" t="str">
        <x:v>https://www.lcmsystems.com/</x:v>
      </x:c>
      <x:c r="L83" s="34" t="str"/>
      <x:c r="M83" s="34" t="str"/>
      <x:c r="N83" s="36" t="n">
        <x:v>46227</x:v>
      </x:c>
    </x:row>
    <x:row r="84" ht="45" customHeight="1">
      <x:c r="A84" s="30" t="str">
        <x:v>Applied Measurements</x:v>
      </x:c>
      <x:c r="B84" s="30" t="str"/>
      <x:c r="C84" s="30" t="str">
        <x:v>Applied Measurements</x:v>
      </x:c>
      <x:c r="D84" s="30" t="str">
        <x:v>United Kingdom</x:v>
      </x:c>
      <x:c r="E84" s="30" t="str">
        <x:v>Europe</x:v>
      </x:c>
      <x:c r="F84" s="30" t="str">
        <x:v>Industrial; test; custom OEM</x:v>
      </x:c>
      <x:c r="G84" s="30" t="str">
        <x:v>Strain gauge</x:v>
      </x:c>
      <x:c r="H84" s="30" t="str">
        <x:v>Load cells, force sensors, load pins, torque and displacement transducers</x:v>
      </x:c>
      <x:c r="I84" s="30" t="str">
        <x:v>A</x:v>
      </x:c>
      <x:c r="J84" s="30" t="str">
        <x:v>First-party material explicitly describes sensor design and manufacture.</x:v>
      </x:c>
      <x:c r="K84" s="30" t="str">
        <x:v>https://appmeas.co.uk/</x:v>
      </x:c>
      <x:c r="L84" s="30" t="str"/>
      <x:c r="M84" s="30" t="str"/>
      <x:c r="N84" s="37" t="n">
        <x:v>46227</x:v>
      </x:c>
    </x:row>
    <x:row r="85" ht="45" customHeight="1">
      <x:c r="A85" s="34" t="str">
        <x:v>Novatech Measurements</x:v>
      </x:c>
      <x:c r="B85" s="34" t="str"/>
      <x:c r="C85" s="34" t="str">
        <x:v>Novatech</x:v>
      </x:c>
      <x:c r="D85" s="34" t="str">
        <x:v>United Kingdom</x:v>
      </x:c>
      <x:c r="E85" s="34" t="str">
        <x:v>Europe</x:v>
      </x:c>
      <x:c r="F85" s="34" t="str">
        <x:v>Aerospace; motorsport; medical; custom</x:v>
      </x:c>
      <x:c r="G85" s="34" t="str">
        <x:v>Strain gauge</x:v>
      </x:c>
      <x:c r="H85" s="34" t="str">
        <x:v>Miniature, pancake, pedal, tension/compression and custom load cells</x:v>
      </x:c>
      <x:c r="I85" s="34" t="str">
        <x:v>A</x:v>
      </x:c>
      <x:c r="J85" s="34" t="str">
        <x:v>First-party material identifies Novatech as a specialist load-cell designer and manufacturer.</x:v>
      </x:c>
      <x:c r="K85" s="34" t="str">
        <x:v>https://www.novatechloadcells.co.uk/</x:v>
      </x:c>
      <x:c r="L85" s="34" t="str"/>
      <x:c r="M85" s="34" t="str"/>
      <x:c r="N85" s="36" t="n">
        <x:v>46227</x:v>
      </x:c>
    </x:row>
    <x:row r="86" ht="45" customHeight="1">
      <x:c r="A86" s="30" t="str">
        <x:v>RDP Electronics</x:v>
      </x:c>
      <x:c r="B86" s="30" t="str"/>
      <x:c r="C86" s="30" t="str">
        <x:v>RDP</x:v>
      </x:c>
      <x:c r="D86" s="30" t="str">
        <x:v>United Kingdom</x:v>
      </x:c>
      <x:c r="E86" s="30" t="str">
        <x:v>Europe</x:v>
      </x:c>
      <x:c r="F86" s="30" t="str">
        <x:v>Industrial; test; OEM</x:v>
      </x:c>
      <x:c r="G86" s="30" t="str">
        <x:v>Strain gauge</x:v>
      </x:c>
      <x:c r="H86" s="30" t="str">
        <x:v>Load cells, force transducers, pressure and displacement sensors</x:v>
      </x:c>
      <x:c r="I86" s="30" t="str">
        <x:v>A</x:v>
      </x:c>
      <x:c r="J86" s="30" t="str">
        <x:v>First-party company material describes RDP as a designer and manufacturer, while also distributing selected products.</x:v>
      </x:c>
      <x:c r="K86" s="30" t="str">
        <x:v>https://www.rdpe.com/</x:v>
      </x:c>
      <x:c r="L86" s="30" t="str"/>
      <x:c r="M86" s="30" t="str"/>
      <x:c r="N86" s="37" t="n">
        <x:v>46227</x:v>
      </x:c>
    </x:row>
    <x:row r="87" ht="45" customHeight="1">
      <x:c r="A87" s="34" t="str">
        <x:v>Force Logic UK</x:v>
      </x:c>
      <x:c r="B87" s="34" t="str"/>
      <x:c r="C87" s="34" t="str">
        <x:v>Force Logic</x:v>
      </x:c>
      <x:c r="D87" s="34" t="str">
        <x:v>United Kingdom</x:v>
      </x:c>
      <x:c r="E87" s="34" t="str">
        <x:v>Europe</x:v>
      </x:c>
      <x:c r="F87" s="34" t="str">
        <x:v>Custom OEM; lifting; industrial</x:v>
      </x:c>
      <x:c r="G87" s="34" t="str">
        <x:v>Strain gauge</x:v>
      </x:c>
      <x:c r="H87" s="34" t="str">
        <x:v>Custom load cells, load pins, force links and strain-gauged structures</x:v>
      </x:c>
      <x:c r="I87" s="34" t="str">
        <x:v>A</x:v>
      </x:c>
      <x:c r="J87" s="34" t="str">
        <x:v>First-party material describes UK design and manufacture of custom force sensors.</x:v>
      </x:c>
      <x:c r="K87" s="34" t="str">
        <x:v>https://www.force-logic.co.uk/</x:v>
      </x:c>
      <x:c r="L87" s="34" t="str"/>
      <x:c r="M87" s="34" t="str"/>
      <x:c r="N87" s="36" t="n">
        <x:v>46227</x:v>
      </x:c>
    </x:row>
    <x:row r="88" ht="45" customHeight="1">
      <x:c r="A88" s="30" t="str">
        <x:v>Elite Transducers</x:v>
      </x:c>
      <x:c r="B88" s="30" t="str"/>
      <x:c r="C88" s="30" t="str">
        <x:v>Elite</x:v>
      </x:c>
      <x:c r="D88" s="30" t="str">
        <x:v>United Kingdom</x:v>
      </x:c>
      <x:c r="E88" s="30" t="str">
        <x:v>Europe</x:v>
      </x:c>
      <x:c r="F88" s="30" t="str">
        <x:v>Industrial; test; custom</x:v>
      </x:c>
      <x:c r="G88" s="30" t="str">
        <x:v>Strain gauge</x:v>
      </x:c>
      <x:c r="H88" s="30" t="str">
        <x:v>Load cells, force transducers, load pins and custom sensors</x:v>
      </x:c>
      <x:c r="I88" s="30" t="str">
        <x:v>A</x:v>
      </x:c>
      <x:c r="J88" s="30" t="str">
        <x:v>First-party material identifies Elite as a UK designer and manufacturer of load cells.</x:v>
      </x:c>
      <x:c r="K88" s="30" t="str">
        <x:v>https://www.elitetransducers.co.uk/</x:v>
      </x:c>
      <x:c r="L88" s="30" t="str"/>
      <x:c r="M88" s="30" t="str"/>
      <x:c r="N88" s="37" t="n">
        <x:v>46227</x:v>
      </x:c>
    </x:row>
    <x:row r="89" ht="45" customHeight="1">
      <x:c r="A89" s="34" t="str">
        <x:v>Sherborne Sensors</x:v>
      </x:c>
      <x:c r="B89" s="34" t="str">
        <x:v>Nova Metrix</x:v>
      </x:c>
      <x:c r="C89" s="34" t="str">
        <x:v>Sherborne Sensors</x:v>
      </x:c>
      <x:c r="D89" s="34" t="str">
        <x:v>United Kingdom</x:v>
      </x:c>
      <x:c r="E89" s="34" t="str">
        <x:v>Europe</x:v>
      </x:c>
      <x:c r="F89" s="34" t="str">
        <x:v>Aerospace; defence; test</x:v>
      </x:c>
      <x:c r="G89" s="34" t="str">
        <x:v>Strain gauge; servo</x:v>
      </x:c>
      <x:c r="H89" s="34" t="str">
        <x:v>High-accuracy load cells, force transducers, inclinometers and accelerometers</x:v>
      </x:c>
      <x:c r="I89" s="34" t="str">
        <x:v>A</x:v>
      </x:c>
      <x:c r="J89" s="34" t="str">
        <x:v>First-party material identifies UK design and manufacture of precision sensors, including load cells.</x:v>
      </x:c>
      <x:c r="K89" s="34" t="str">
        <x:v>https://www.sherbornesensors.com/</x:v>
      </x:c>
      <x:c r="L89" s="34" t="str"/>
      <x:c r="M89" s="34" t="str"/>
      <x:c r="N89" s="36" t="n">
        <x:v>46227</x:v>
      </x:c>
    </x:row>
    <x:row r="90" ht="45" customHeight="1">
      <x:c r="A90" s="30" t="str">
        <x:v>Datum Electronics</x:v>
      </x:c>
      <x:c r="B90" s="30" t="str"/>
      <x:c r="C90" s="30" t="str">
        <x:v>Datum</x:v>
      </x:c>
      <x:c r="D90" s="30" t="str">
        <x:v>United Kingdom</x:v>
      </x:c>
      <x:c r="E90" s="30" t="str">
        <x:v>Europe</x:v>
      </x:c>
      <x:c r="F90" s="30" t="str">
        <x:v>Marine; industrial; lifting; shaft power</x:v>
      </x:c>
      <x:c r="G90" s="30" t="str">
        <x:v>Strain gauge</x:v>
      </x:c>
      <x:c r="H90" s="30" t="str">
        <x:v>Load cells, load pins, tension links and custom strain-gauged components</x:v>
      </x:c>
      <x:c r="I90" s="30" t="str">
        <x:v>A</x:v>
      </x:c>
      <x:c r="J90" s="30" t="str">
        <x:v>First-party material describes UK design and manufacture of load and force sensors.</x:v>
      </x:c>
      <x:c r="K90" s="30" t="str">
        <x:v>https://www.datumelectronics.com/</x:v>
      </x:c>
      <x:c r="L90" s="30" t="str"/>
      <x:c r="M90" s="30" t="str"/>
      <x:c r="N90" s="37" t="n">
        <x:v>46227</x:v>
      </x:c>
    </x:row>
    <x:row r="91" ht="45" customHeight="1">
      <x:c r="A91" s="34" t="str">
        <x:v>Dynamic Load Monitoring (DLM)</x:v>
      </x:c>
      <x:c r="B91" s="34" t="str"/>
      <x:c r="C91" s="34" t="str">
        <x:v>DLM</x:v>
      </x:c>
      <x:c r="D91" s="34" t="str">
        <x:v>United Kingdom</x:v>
      </x:c>
      <x:c r="E91" s="34" t="str">
        <x:v>Europe</x:v>
      </x:c>
      <x:c r="F91" s="34" t="str">
        <x:v>Lifting; marine; offshore</x:v>
      </x:c>
      <x:c r="G91" s="34" t="str">
        <x:v>Strain gauge</x:v>
      </x:c>
      <x:c r="H91" s="34" t="str">
        <x:v>Load links, load shackles, load pins and custom monitoring systems</x:v>
      </x:c>
      <x:c r="I91" s="34" t="str">
        <x:v>A</x:v>
      </x:c>
      <x:c r="J91" s="34" t="str">
        <x:v>First-party material identifies in-house design, manufacture and calibration of load-monitoring sensors.</x:v>
      </x:c>
      <x:c r="K91" s="34" t="str">
        <x:v>https://dlm-ltd.co.uk/</x:v>
      </x:c>
      <x:c r="L91" s="34" t="str"/>
      <x:c r="M91" s="34" t="str"/>
      <x:c r="N91" s="36" t="n">
        <x:v>46227</x:v>
      </x:c>
    </x:row>
    <x:row r="92" ht="45" customHeight="1">
      <x:c r="A92" s="30" t="str">
        <x:v>Crosby Straightpoint</x:v>
      </x:c>
      <x:c r="B92" s="30" t="str">
        <x:v>The Crosby Group</x:v>
      </x:c>
      <x:c r="C92" s="30" t="str">
        <x:v>Straightpoint</x:v>
      </x:c>
      <x:c r="D92" s="30" t="str">
        <x:v>United Kingdom</x:v>
      </x:c>
      <x:c r="E92" s="30" t="str">
        <x:v>Europe</x:v>
      </x:c>
      <x:c r="F92" s="30" t="str">
        <x:v>Lifting; rigging; offshore</x:v>
      </x:c>
      <x:c r="G92" s="30" t="str">
        <x:v>Strain gauge</x:v>
      </x:c>
      <x:c r="H92" s="30" t="str">
        <x:v>Wireless load links, compression cells, load shackles and crane scales</x:v>
      </x:c>
      <x:c r="I92" s="30" t="str">
        <x:v>A</x:v>
      </x:c>
      <x:c r="J92" s="30" t="str">
        <x:v>First-party material identifies Straightpoint-designed and manufactured load-monitoring products.</x:v>
      </x:c>
      <x:c r="K92" s="30" t="str">
        <x:v>https://www.thecrosbygroup.com/straightpoint/</x:v>
      </x:c>
      <x:c r="L92" s="30" t="str"/>
      <x:c r="M92" s="30" t="str"/>
      <x:c r="N92" s="37" t="n">
        <x:v>46227</x:v>
      </x:c>
    </x:row>
    <x:row r="93" ht="45" customHeight="1">
      <x:c r="A93" s="34" t="str">
        <x:v>Strainstall</x:v>
      </x:c>
      <x:c r="B93" s="34" t="str">
        <x:v>James Fisher and Sons</x:v>
      </x:c>
      <x:c r="C93" s="34" t="str">
        <x:v>Strainstall</x:v>
      </x:c>
      <x:c r="D93" s="34" t="str">
        <x:v>United Kingdom</x:v>
      </x:c>
      <x:c r="E93" s="34" t="str">
        <x:v>Europe</x:v>
      </x:c>
      <x:c r="F93" s="34" t="str">
        <x:v>Infrastructure; marine; lifting; structural monitoring</x:v>
      </x:c>
      <x:c r="G93" s="34" t="str">
        <x:v>Strain gauge; fiber optic</x:v>
      </x:c>
      <x:c r="H93" s="34" t="str">
        <x:v>Load cells, load pins, mooring-load sensors and structural monitoring transducers</x:v>
      </x:c>
      <x:c r="I93" s="34" t="str">
        <x:v>A</x:v>
      </x:c>
      <x:c r="J93" s="34" t="str">
        <x:v>First-party material describes in-house engineering and manufacture of load-monitoring sensors.</x:v>
      </x:c>
      <x:c r="K93" s="34" t="str">
        <x:v>https://www.james-fisher.com/what-we-do/strainstall/</x:v>
      </x:c>
      <x:c r="L93" s="34" t="str"/>
      <x:c r="M93" s="34" t="str"/>
      <x:c r="N93" s="36" t="n">
        <x:v>46227</x:v>
      </x:c>
    </x:row>
    <x:row r="94" ht="45" customHeight="1">
      <x:c r="A94" s="30" t="str">
        <x:v>Thames Side Sensors</x:v>
      </x:c>
      <x:c r="B94" s="30" t="str">
        <x:v>Indutrade</x:v>
      </x:c>
      <x:c r="C94" s="30" t="str">
        <x:v>Thames Side</x:v>
      </x:c>
      <x:c r="D94" s="30" t="str">
        <x:v>United Kingdom</x:v>
      </x:c>
      <x:c r="E94" s="30" t="str">
        <x:v>Europe</x:v>
      </x:c>
      <x:c r="F94" s="30" t="str">
        <x:v>Industrial weighing; process; OEM</x:v>
      </x:c>
      <x:c r="G94" s="30" t="str">
        <x:v>Strain gauge</x:v>
      </x:c>
      <x:c r="H94" s="30" t="str">
        <x:v>Beam, single-point, compression, tension and custom load cells</x:v>
      </x:c>
      <x:c r="I94" s="30" t="str">
        <x:v>A</x:v>
      </x:c>
      <x:c r="J94" s="30" t="str">
        <x:v>First-party material identifies dedicated load-cell design and manufacturing operations in the UK and India.</x:v>
      </x:c>
      <x:c r="K94" s="30" t="str">
        <x:v>https://www.thames-side.com/</x:v>
      </x:c>
      <x:c r="L94" s="30" t="str"/>
      <x:c r="M94" s="30" t="str"/>
      <x:c r="N94" s="37" t="n">
        <x:v>46227</x:v>
      </x:c>
    </x:row>
    <x:row r="95" ht="45" customHeight="1">
      <x:c r="A95" s="34" t="str">
        <x:v>ESIT Elektronik</x:v>
      </x:c>
      <x:c r="B95" s="34" t="str"/>
      <x:c r="C95" s="34" t="str">
        <x:v>ESIT</x:v>
      </x:c>
      <x:c r="D95" s="34" t="str">
        <x:v>Türkiye</x:v>
      </x:c>
      <x:c r="E95" s="34" t="str">
        <x:v>Europe / West Asia</x:v>
      </x:c>
      <x:c r="F95" s="34" t="str">
        <x:v>Industrial weighing; vehicle scales; process</x:v>
      </x:c>
      <x:c r="G95" s="34" t="str">
        <x:v>Strain gauge; digital</x:v>
      </x:c>
      <x:c r="H95" s="34" t="str">
        <x:v>Beam, compression, tension, digital and vehicle-scale load cells</x:v>
      </x:c>
      <x:c r="I95" s="34" t="str">
        <x:v>A</x:v>
      </x:c>
      <x:c r="J95" s="34" t="str">
        <x:v>First-party material identifies ESIT as a load-cell and weighing-equipment manufacturer.</x:v>
      </x:c>
      <x:c r="K95" s="34" t="str">
        <x:v>https://www.esit.com.tr/</x:v>
      </x:c>
      <x:c r="L95" s="34" t="str"/>
      <x:c r="M95" s="34" t="str"/>
      <x:c r="N95" s="36" t="n">
        <x:v>46227</x:v>
      </x:c>
    </x:row>
    <x:row r="96" ht="45" customHeight="1">
      <x:c r="A96" s="30" t="str">
        <x:v>KOBOSTAR</x:v>
      </x:c>
      <x:c r="B96" s="30" t="str"/>
      <x:c r="C96" s="30" t="str">
        <x:v>KOBOSTAR</x:v>
      </x:c>
      <x:c r="D96" s="30" t="str">
        <x:v>Türkiye</x:v>
      </x:c>
      <x:c r="E96" s="30" t="str">
        <x:v>Europe / West Asia</x:v>
      </x:c>
      <x:c r="F96" s="30" t="str">
        <x:v>Industrial weighing; process; lifting</x:v>
      </x:c>
      <x:c r="G96" s="30" t="str">
        <x:v>Strain gauge</x:v>
      </x:c>
      <x:c r="H96" s="30" t="str">
        <x:v>Single-point, beam, compression, tension and pin load cells</x:v>
      </x:c>
      <x:c r="I96" s="30" t="str">
        <x:v>A</x:v>
      </x:c>
      <x:c r="J96" s="30" t="str">
        <x:v>First-party material identifies KOBOSTAR's own load-cell design and manufacturing.</x:v>
      </x:c>
      <x:c r="K96" s="30" t="str">
        <x:v>https://kobostar.com/</x:v>
      </x:c>
      <x:c r="L96" s="30" t="str"/>
      <x:c r="M96" s="30" t="str"/>
      <x:c r="N96" s="37" t="n">
        <x:v>46227</x:v>
      </x:c>
    </x:row>
    <x:row r="97" ht="45" customHeight="1">
      <x:c r="A97" s="34" t="str">
        <x:v>PULS Elektronik</x:v>
      </x:c>
      <x:c r="B97" s="34" t="str"/>
      <x:c r="C97" s="34" t="str">
        <x:v>PULS</x:v>
      </x:c>
      <x:c r="D97" s="34" t="str">
        <x:v>Türkiye</x:v>
      </x:c>
      <x:c r="E97" s="34" t="str">
        <x:v>Europe / West Asia</x:v>
      </x:c>
      <x:c r="F97" s="34" t="str">
        <x:v>Industrial weighing; process</x:v>
      </x:c>
      <x:c r="G97" s="34" t="str">
        <x:v>Strain gauge</x:v>
      </x:c>
      <x:c r="H97" s="34" t="str">
        <x:v>Load cells, weighing modules and instrumentation</x:v>
      </x:c>
      <x:c r="I97" s="34" t="str">
        <x:v>A</x:v>
      </x:c>
      <x:c r="J97" s="34" t="str">
        <x:v>First-party material presents Turkish load-cell production and product development.</x:v>
      </x:c>
      <x:c r="K97" s="34" t="str">
        <x:v>https://www.puls.com.tr/</x:v>
      </x:c>
      <x:c r="L97" s="34" t="str"/>
      <x:c r="M97" s="34" t="str"/>
      <x:c r="N97" s="36" t="n">
        <x:v>46227</x:v>
      </x:c>
    </x:row>
    <x:row r="98" ht="45" customHeight="1">
      <x:c r="A98" s="30" t="str">
        <x:v>EMSYST</x:v>
      </x:c>
      <x:c r="B98" s="30" t="str"/>
      <x:c r="C98" s="30" t="str">
        <x:v>EMSYST</x:v>
      </x:c>
      <x:c r="D98" s="30" t="str">
        <x:v>Slovakia</x:v>
      </x:c>
      <x:c r="E98" s="30" t="str">
        <x:v>Europe</x:v>
      </x:c>
      <x:c r="F98" s="30" t="str">
        <x:v>Industrial; rail; lifting; custom</x:v>
      </x:c>
      <x:c r="G98" s="30" t="str">
        <x:v>Strain gauge</x:v>
      </x:c>
      <x:c r="H98" s="30" t="str">
        <x:v>Load cells, force transducers, rail weighing sensors and custom cells</x:v>
      </x:c>
      <x:c r="I98" s="30" t="str">
        <x:v>A</x:v>
      </x:c>
      <x:c r="J98" s="30" t="str">
        <x:v>First-party material identifies Slovak design and manufacture of force sensors.</x:v>
      </x:c>
      <x:c r="K98" s="30" t="str">
        <x:v>https://www.emsyst.sk/</x:v>
      </x:c>
      <x:c r="L98" s="30" t="str"/>
      <x:c r="M98" s="30" t="str"/>
      <x:c r="N98" s="37" t="n">
        <x:v>46227</x:v>
      </x:c>
    </x:row>
    <x:row r="99" ht="45" customHeight="1">
      <x:c r="A99" s="34" t="str">
        <x:v>ZEMIC / AVIC Zhonghang Electronic Measuring Instruments</x:v>
      </x:c>
      <x:c r="B99" s="34" t="str">
        <x:v>AVIC</x:v>
      </x:c>
      <x:c r="C99" s="34" t="str">
        <x:v>ZEMIC</x:v>
      </x:c>
      <x:c r="D99" s="34" t="str">
        <x:v>China</x:v>
      </x:c>
      <x:c r="E99" s="34" t="str">
        <x:v>East Asia</x:v>
      </x:c>
      <x:c r="F99" s="34" t="str">
        <x:v>Industrial weighing; process; vehicle scales; OEM</x:v>
      </x:c>
      <x:c r="G99" s="34" t="str">
        <x:v>Strain gauge; digital</x:v>
      </x:c>
      <x:c r="H99" s="34" t="str">
        <x:v>Single-point, beam, canister, compression, tension and digital load cells</x:v>
      </x:c>
      <x:c r="I99" s="34" t="str">
        <x:v>A</x:v>
      </x:c>
      <x:c r="J99" s="34" t="str">
        <x:v>First-party company material identifies large-scale load-cell R&amp;D and manufacturing.</x:v>
      </x:c>
      <x:c r="K99" s="34" t="str">
        <x:v>https://www.zemic.com.cn/</x:v>
      </x:c>
      <x:c r="L99" s="34" t="str"/>
      <x:c r="M99" s="34" t="str"/>
      <x:c r="N99" s="36" t="n">
        <x:v>46227</x:v>
      </x:c>
    </x:row>
    <x:row r="100" ht="45" customHeight="1">
      <x:c r="A100" s="30" t="str">
        <x:v>Keli Sensing Technology</x:v>
      </x:c>
      <x:c r="B100" s="30" t="str"/>
      <x:c r="C100" s="30" t="str">
        <x:v>KELI</x:v>
      </x:c>
      <x:c r="D100" s="30" t="str">
        <x:v>China</x:v>
      </x:c>
      <x:c r="E100" s="30" t="str">
        <x:v>East Asia</x:v>
      </x:c>
      <x:c r="F100" s="30" t="str">
        <x:v>Industrial weighing; process; vehicle scales</x:v>
      </x:c>
      <x:c r="G100" s="30" t="str">
        <x:v>Strain gauge; digital</x:v>
      </x:c>
      <x:c r="H100" s="30" t="str">
        <x:v>Beam, canister, compression, tension, digital and vehicle-scale load cells</x:v>
      </x:c>
      <x:c r="I100" s="30" t="str">
        <x:v>A</x:v>
      </x:c>
      <x:c r="J100" s="30" t="str">
        <x:v>First-party material identifies Keli as a load-cell developer and manufacturer.</x:v>
      </x:c>
      <x:c r="K100" s="30" t="str">
        <x:v>https://www.keli-china.com/</x:v>
      </x:c>
      <x:c r="L100" s="30" t="str"/>
      <x:c r="M100" s="30" t="str"/>
      <x:c r="N100" s="37" t="n">
        <x:v>46227</x:v>
      </x:c>
    </x:row>
    <x:row r="101" ht="45" customHeight="1">
      <x:c r="A101" s="34" t="str">
        <x:v>Ningbo Haibo Sensor</x:v>
      </x:c>
      <x:c r="B101" s="34" t="str"/>
      <x:c r="C101" s="34" t="str">
        <x:v>Haibo</x:v>
      </x:c>
      <x:c r="D101" s="34" t="str">
        <x:v>China</x:v>
      </x:c>
      <x:c r="E101" s="34" t="str">
        <x:v>East Asia</x:v>
      </x:c>
      <x:c r="F101" s="34" t="str">
        <x:v>Industrial weighing; OEM; process</x:v>
      </x:c>
      <x:c r="G101" s="34" t="str">
        <x:v>Strain gauge</x:v>
      </x:c>
      <x:c r="H101" s="34" t="str">
        <x:v>Single-point, beam, compression, tension and custom load cells</x:v>
      </x:c>
      <x:c r="I101" s="34" t="str">
        <x:v>A</x:v>
      </x:c>
      <x:c r="J101" s="34" t="str">
        <x:v>First-party material explicitly describes load-cell design and manufacture.</x:v>
      </x:c>
      <x:c r="K101" s="34" t="str">
        <x:v>https://www.haibosensor.com/</x:v>
      </x:c>
      <x:c r="L101" s="34" t="str"/>
      <x:c r="M101" s="34" t="str"/>
      <x:c r="N101" s="36" t="n">
        <x:v>46227</x:v>
      </x:c>
    </x:row>
    <x:row r="102" ht="45" customHeight="1">
      <x:c r="A102" s="30" t="str">
        <x:v>Ningbo Eastbright Sensor</x:v>
      </x:c>
      <x:c r="B102" s="30" t="str"/>
      <x:c r="C102" s="30" t="str">
        <x:v>Eastbright</x:v>
      </x:c>
      <x:c r="D102" s="30" t="str">
        <x:v>China</x:v>
      </x:c>
      <x:c r="E102" s="30" t="str">
        <x:v>East Asia</x:v>
      </x:c>
      <x:c r="F102" s="30" t="str">
        <x:v>Industrial weighing; OEM</x:v>
      </x:c>
      <x:c r="G102" s="30" t="str">
        <x:v>Strain gauge</x:v>
      </x:c>
      <x:c r="H102" s="30" t="str">
        <x:v>Single-point, beam, S-type, miniature and custom load cells</x:v>
      </x:c>
      <x:c r="I102" s="30" t="str">
        <x:v>A</x:v>
      </x:c>
      <x:c r="J102" s="30" t="str">
        <x:v>First-party material presents Eastbright as a load-cell manufacturer with product-development capability.</x:v>
      </x:c>
      <x:c r="K102" s="30" t="str">
        <x:v>https://www.eastbrightsensor.com/</x:v>
      </x:c>
      <x:c r="L102" s="30" t="str"/>
      <x:c r="M102" s="30" t="str"/>
      <x:c r="N102" s="37" t="n">
        <x:v>46227</x:v>
      </x:c>
    </x:row>
    <x:row r="103" ht="45" customHeight="1">
      <x:c r="A103" s="34" t="str">
        <x:v>LOCOSC Ningbo Precision Technology</x:v>
      </x:c>
      <x:c r="B103" s="34" t="str"/>
      <x:c r="C103" s="34" t="str">
        <x:v>LOCOSC</x:v>
      </x:c>
      <x:c r="D103" s="34" t="str">
        <x:v>China</x:v>
      </x:c>
      <x:c r="E103" s="34" t="str">
        <x:v>East Asia</x:v>
      </x:c>
      <x:c r="F103" s="34" t="str">
        <x:v>Industrial weighing; process; OEM</x:v>
      </x:c>
      <x:c r="G103" s="34" t="str">
        <x:v>Strain gauge</x:v>
      </x:c>
      <x:c r="H103" s="34" t="str">
        <x:v>Beam, single-point, compression, tension and weighing modules</x:v>
      </x:c>
      <x:c r="I103" s="34" t="str">
        <x:v>A</x:v>
      </x:c>
      <x:c r="J103" s="34" t="str">
        <x:v>First-party material identifies LOCOSC's in-house load-cell and weighing-product manufacture.</x:v>
      </x:c>
      <x:c r="K103" s="34" t="str">
        <x:v>https://www.locosc.com/</x:v>
      </x:c>
      <x:c r="L103" s="34" t="str"/>
      <x:c r="M103" s="34" t="str"/>
      <x:c r="N103" s="36" t="n">
        <x:v>46227</x:v>
      </x:c>
    </x:row>
    <x:row r="104" ht="45" customHeight="1">
      <x:c r="A104" s="30" t="str">
        <x:v>Zhejiang South-Ocean Sensor Manufacturing</x:v>
      </x:c>
      <x:c r="B104" s="30" t="str"/>
      <x:c r="C104" s="30" t="str">
        <x:v>South-Ocean</x:v>
      </x:c>
      <x:c r="D104" s="30" t="str">
        <x:v>China</x:v>
      </x:c>
      <x:c r="E104" s="30" t="str">
        <x:v>East Asia</x:v>
      </x:c>
      <x:c r="F104" s="30" t="str">
        <x:v>Industrial weighing; process; vehicle scales</x:v>
      </x:c>
      <x:c r="G104" s="30" t="str">
        <x:v>Strain gauge</x:v>
      </x:c>
      <x:c r="H104" s="30" t="str">
        <x:v>Beam, canister, compression, tension and vehicle-scale load cells</x:v>
      </x:c>
      <x:c r="I104" s="30" t="str">
        <x:v>A</x:v>
      </x:c>
      <x:c r="J104" s="30" t="str">
        <x:v>The legal entity and first-party material explicitly identify sensor manufacturing.</x:v>
      </x:c>
      <x:c r="K104" s="30" t="str">
        <x:v>https://www.south-ocean.com/</x:v>
      </x:c>
      <x:c r="L104" s="30" t="str"/>
      <x:c r="M104" s="30" t="str"/>
      <x:c r="N104" s="37" t="n">
        <x:v>46227</x:v>
      </x:c>
    </x:row>
    <x:row r="105" ht="45" customHeight="1">
      <x:c r="A105" s="34" t="str">
        <x:v>Anhui Tianguang Sensor</x:v>
      </x:c>
      <x:c r="B105" s="34" t="str"/>
      <x:c r="C105" s="34" t="str">
        <x:v>Tianguang</x:v>
      </x:c>
      <x:c r="D105" s="34" t="str">
        <x:v>China</x:v>
      </x:c>
      <x:c r="E105" s="34" t="str">
        <x:v>East Asia</x:v>
      </x:c>
      <x:c r="F105" s="34" t="str">
        <x:v>Industrial; test; custom OEM</x:v>
      </x:c>
      <x:c r="G105" s="34" t="str">
        <x:v>Strain gauge</x:v>
      </x:c>
      <x:c r="H105" s="34" t="str">
        <x:v>Load cells, force sensors, pressure and torque transducers</x:v>
      </x:c>
      <x:c r="I105" s="34" t="str">
        <x:v>A</x:v>
      </x:c>
      <x:c r="J105" s="34" t="str">
        <x:v>First-party material identifies load-cell R&amp;D and manufacturing.</x:v>
      </x:c>
      <x:c r="K105" s="34" t="str">
        <x:v>https://www.tianguangsensor.com/</x:v>
      </x:c>
      <x:c r="L105" s="34" t="str"/>
      <x:c r="M105" s="34" t="str"/>
      <x:c r="N105" s="36" t="n">
        <x:v>46227</x:v>
      </x:c>
    </x:row>
    <x:row r="106" ht="45" customHeight="1">
      <x:c r="A106" s="30" t="str">
        <x:v>Bengbu Sensor System Engineering</x:v>
      </x:c>
      <x:c r="B106" s="30" t="str"/>
      <x:c r="C106" s="30" t="str">
        <x:v>BSS</x:v>
      </x:c>
      <x:c r="D106" s="30" t="str">
        <x:v>China</x:v>
      </x:c>
      <x:c r="E106" s="30" t="str">
        <x:v>East Asia</x:v>
      </x:c>
      <x:c r="F106" s="30" t="str">
        <x:v>Industrial; automotive; test; custom</x:v>
      </x:c>
      <x:c r="G106" s="30" t="str">
        <x:v>Strain gauge</x:v>
      </x:c>
      <x:c r="H106" s="30" t="str">
        <x:v>Load cells, force, torque and pressure sensors</x:v>
      </x:c>
      <x:c r="I106" s="30" t="str">
        <x:v>A</x:v>
      </x:c>
      <x:c r="J106" s="30" t="str">
        <x:v>First-party material presents in-house sensor development and manufacture.</x:v>
      </x:c>
      <x:c r="K106" s="30" t="str">
        <x:v>https://www.bssensor.com/</x:v>
      </x:c>
      <x:c r="L106" s="30" t="str"/>
      <x:c r="M106" s="30" t="str"/>
      <x:c r="N106" s="37" t="n">
        <x:v>46227</x:v>
      </x:c>
    </x:row>
    <x:row r="107" ht="45" customHeight="1">
      <x:c r="A107" s="34" t="str">
        <x:v>Bengbu Zhongnuo Sensor</x:v>
      </x:c>
      <x:c r="B107" s="34" t="str"/>
      <x:c r="C107" s="34" t="str">
        <x:v>Zhongnuo</x:v>
      </x:c>
      <x:c r="D107" s="34" t="str">
        <x:v>China</x:v>
      </x:c>
      <x:c r="E107" s="34" t="str">
        <x:v>East Asia</x:v>
      </x:c>
      <x:c r="F107" s="34" t="str">
        <x:v>Industrial weighing; OEM; custom</x:v>
      </x:c>
      <x:c r="G107" s="34" t="str">
        <x:v>Strain gauge</x:v>
      </x:c>
      <x:c r="H107" s="34" t="str">
        <x:v>Miniature, button, beam, S-type and custom load cells</x:v>
      </x:c>
      <x:c r="I107" s="34" t="str">
        <x:v>A</x:v>
      </x:c>
      <x:c r="J107" s="34" t="str">
        <x:v>First-party material identifies the company as a load-cell manufacturer.</x:v>
      </x:c>
      <x:c r="K107" s="34" t="str">
        <x:v>https://www.zhongnuosensor.com/</x:v>
      </x:c>
      <x:c r="L107" s="34" t="str"/>
      <x:c r="M107" s="34" t="str"/>
      <x:c r="N107" s="36" t="n">
        <x:v>46227</x:v>
      </x:c>
    </x:row>
    <x:row r="108" ht="45" customHeight="1">
      <x:c r="A108" s="30" t="str">
        <x:v>Bengbu Tianxing Sensor</x:v>
      </x:c>
      <x:c r="B108" s="30" t="str"/>
      <x:c r="C108" s="30" t="str">
        <x:v>Tianxing</x:v>
      </x:c>
      <x:c r="D108" s="30" t="str">
        <x:v>China</x:v>
      </x:c>
      <x:c r="E108" s="30" t="str">
        <x:v>East Asia</x:v>
      </x:c>
      <x:c r="F108" s="30" t="str">
        <x:v>Industrial; OEM; test</x:v>
      </x:c>
      <x:c r="G108" s="30" t="str">
        <x:v>Strain gauge</x:v>
      </x:c>
      <x:c r="H108" s="30" t="str">
        <x:v>Load cells, force, torque and pressure transducers</x:v>
      </x:c>
      <x:c r="I108" s="30" t="str">
        <x:v>A</x:v>
      </x:c>
      <x:c r="J108" s="30" t="str">
        <x:v>First-party material identifies in-house force-sensor manufacturing.</x:v>
      </x:c>
      <x:c r="K108" s="30" t="str">
        <x:v>https://www.tianxingsensor.com/</x:v>
      </x:c>
      <x:c r="L108" s="30" t="str"/>
      <x:c r="M108" s="30" t="str"/>
      <x:c r="N108" s="37" t="n">
        <x:v>46227</x:v>
      </x:c>
    </x:row>
    <x:row r="109" ht="45" customHeight="1">
      <x:c r="A109" s="34" t="str">
        <x:v>Hefei Brans Measuring and Controlling Technology</x:v>
      </x:c>
      <x:c r="B109" s="34" t="str"/>
      <x:c r="C109" s="34" t="str">
        <x:v>BRANS</x:v>
      </x:c>
      <x:c r="D109" s="34" t="str">
        <x:v>China</x:v>
      </x:c>
      <x:c r="E109" s="34" t="str">
        <x:v>East Asia</x:v>
      </x:c>
      <x:c r="F109" s="34" t="str">
        <x:v>Industrial; test; OEM</x:v>
      </x:c>
      <x:c r="G109" s="34" t="str">
        <x:v>Strain gauge</x:v>
      </x:c>
      <x:c r="H109" s="34" t="str">
        <x:v>Load cells, force sensors, torque and pressure transducers</x:v>
      </x:c>
      <x:c r="I109" s="34" t="str">
        <x:v>A</x:v>
      </x:c>
      <x:c r="J109" s="34" t="str">
        <x:v>First-party material presents load-cell development and manufacturing.</x:v>
      </x:c>
      <x:c r="K109" s="34" t="str">
        <x:v>https://www.bransensor.com/</x:v>
      </x:c>
      <x:c r="L109" s="34" t="str"/>
      <x:c r="M109" s="34" t="str"/>
      <x:c r="N109" s="36" t="n">
        <x:v>46227</x:v>
      </x:c>
    </x:row>
    <x:row r="110" ht="45" customHeight="1">
      <x:c r="A110" s="30" t="str">
        <x:v>Forsentek</x:v>
      </x:c>
      <x:c r="B110" s="30" t="str"/>
      <x:c r="C110" s="30" t="str">
        <x:v>Forsentek</x:v>
      </x:c>
      <x:c r="D110" s="30" t="str">
        <x:v>China</x:v>
      </x:c>
      <x:c r="E110" s="30" t="str">
        <x:v>East Asia</x:v>
      </x:c>
      <x:c r="F110" s="30" t="str">
        <x:v>Industrial; OEM; robotics; custom</x:v>
      </x:c>
      <x:c r="G110" s="30" t="str">
        <x:v>Strain gauge</x:v>
      </x:c>
      <x:c r="H110" s="30" t="str">
        <x:v>Miniature, button, beam, pancake, multi-axis and custom load cells</x:v>
      </x:c>
      <x:c r="I110" s="30" t="str">
        <x:v>A</x:v>
      </x:c>
      <x:c r="J110" s="30" t="str">
        <x:v>First-party material explicitly presents custom force-sensor design and manufacturing.</x:v>
      </x:c>
      <x:c r="K110" s="30" t="str">
        <x:v>https://www.forsentek.com/</x:v>
      </x:c>
      <x:c r="L110" s="30" t="str"/>
      <x:c r="M110" s="30" t="str"/>
      <x:c r="N110" s="37" t="n">
        <x:v>46227</x:v>
      </x:c>
    </x:row>
    <x:row r="111" ht="45" customHeight="1">
      <x:c r="A111" s="34" t="str">
        <x:v>XJCSENSOR</x:v>
      </x:c>
      <x:c r="B111" s="34" t="str"/>
      <x:c r="C111" s="34" t="str">
        <x:v>XJCSENSOR</x:v>
      </x:c>
      <x:c r="D111" s="34" t="str">
        <x:v>China</x:v>
      </x:c>
      <x:c r="E111" s="34" t="str">
        <x:v>East Asia</x:v>
      </x:c>
      <x:c r="F111" s="34" t="str">
        <x:v>Industrial; OEM; robotics; multi-axis</x:v>
      </x:c>
      <x:c r="G111" s="34" t="str">
        <x:v>Strain gauge</x:v>
      </x:c>
      <x:c r="H111" s="34" t="str">
        <x:v>Load cells, force sensors, multi-axis force/torque sensors and custom transducers</x:v>
      </x:c>
      <x:c r="I111" s="34" t="str">
        <x:v>A</x:v>
      </x:c>
      <x:c r="J111" s="34" t="str">
        <x:v>First-party material identifies proprietary load-cell development and production.</x:v>
      </x:c>
      <x:c r="K111" s="34" t="str">
        <x:v>https://www.xjcsensor.com/</x:v>
      </x:c>
      <x:c r="L111" s="34" t="str"/>
      <x:c r="M111" s="34" t="str"/>
      <x:c r="N111" s="36" t="n">
        <x:v>46227</x:v>
      </x:c>
    </x:row>
    <x:row r="112" ht="45" customHeight="1">
      <x:c r="A112" s="30" t="str">
        <x:v>FIBOS Measurement Technology</x:v>
      </x:c>
      <x:c r="B112" s="30" t="str"/>
      <x:c r="C112" s="30" t="str">
        <x:v>FIBOS</x:v>
      </x:c>
      <x:c r="D112" s="30" t="str">
        <x:v>China</x:v>
      </x:c>
      <x:c r="E112" s="30" t="str">
        <x:v>East Asia</x:v>
      </x:c>
      <x:c r="F112" s="30" t="str">
        <x:v>OEM; robotics; industrial; custom</x:v>
      </x:c>
      <x:c r="G112" s="30" t="str">
        <x:v>Strain gauge</x:v>
      </x:c>
      <x:c r="H112" s="30" t="str">
        <x:v>Miniature, multi-axis, button, tension/compression and custom load cells</x:v>
      </x:c>
      <x:c r="I112" s="30" t="str">
        <x:v>A</x:v>
      </x:c>
      <x:c r="J112" s="30" t="str">
        <x:v>First-party material identifies sensor R&amp;D and manufacturing.</x:v>
      </x:c>
      <x:c r="K112" s="30" t="str">
        <x:v>https://www.fibossensor.com/</x:v>
      </x:c>
      <x:c r="L112" s="30" t="str"/>
      <x:c r="M112" s="30" t="str"/>
      <x:c r="N112" s="37" t="n">
        <x:v>46227</x:v>
      </x:c>
    </x:row>
    <x:row r="113" ht="45" customHeight="1">
      <x:c r="A113" s="34" t="str">
        <x:v>Shenzhen SOWAY Tech</x:v>
      </x:c>
      <x:c r="B113" s="34" t="str"/>
      <x:c r="C113" s="34" t="str">
        <x:v>SOWAY</x:v>
      </x:c>
      <x:c r="D113" s="34" t="str">
        <x:v>China</x:v>
      </x:c>
      <x:c r="E113" s="34" t="str">
        <x:v>East Asia</x:v>
      </x:c>
      <x:c r="F113" s="34" t="str">
        <x:v>OEM; automotive; medical; industrial</x:v>
      </x:c>
      <x:c r="G113" s="34" t="str">
        <x:v>Strain gauge; Hall; magnetostrictive</x:v>
      </x:c>
      <x:c r="H113" s="34" t="str">
        <x:v>Force sensors, load cells, displacement and liquid-level sensors</x:v>
      </x:c>
      <x:c r="I113" s="34" t="str">
        <x:v>A</x:v>
      </x:c>
      <x:c r="J113" s="34" t="str">
        <x:v>First-party material identifies SOWAY as a sensor designer and manufacturer with force-sensor lines.</x:v>
      </x:c>
      <x:c r="K113" s="34" t="str">
        <x:v>https://www.sowaysensor.com/</x:v>
      </x:c>
      <x:c r="L113" s="34" t="str"/>
      <x:c r="M113" s="34" t="str"/>
      <x:c r="N113" s="36" t="n">
        <x:v>46227</x:v>
      </x:c>
    </x:row>
    <x:row r="114" ht="45" customHeight="1">
      <x:c r="A114" s="30" t="str">
        <x:v>Sinocera Piezotronics</x:v>
      </x:c>
      <x:c r="B114" s="30" t="str"/>
      <x:c r="C114" s="30" t="str">
        <x:v>Sinocera</x:v>
      </x:c>
      <x:c r="D114" s="30" t="str">
        <x:v>China</x:v>
      </x:c>
      <x:c r="E114" s="30" t="str">
        <x:v>East Asia</x:v>
      </x:c>
      <x:c r="F114" s="30" t="str">
        <x:v>Dynamic force; vibration; aerospace; test</x:v>
      </x:c>
      <x:c r="G114" s="30" t="str">
        <x:v>Piezoelectric</x:v>
      </x:c>
      <x:c r="H114" s="30" t="str">
        <x:v>Piezoelectric force sensors, load washers, impact sensors and dynamometers</x:v>
      </x:c>
      <x:c r="I114" s="30" t="str">
        <x:v>A</x:v>
      </x:c>
      <x:c r="J114" s="30" t="str">
        <x:v>First-party material identifies in-house piezoelectric sensor development and production.</x:v>
      </x:c>
      <x:c r="K114" s="30" t="str">
        <x:v>https://www.sinocera.net/</x:v>
      </x:c>
      <x:c r="L114" s="30" t="str"/>
      <x:c r="M114" s="30" t="str"/>
      <x:c r="N114" s="37" t="n">
        <x:v>46227</x:v>
      </x:c>
    </x:row>
    <x:row r="115" ht="45" customHeight="1">
      <x:c r="A115" s="34" t="str">
        <x:v>Sunrise Instruments / SRI</x:v>
      </x:c>
      <x:c r="B115" s="34" t="str"/>
      <x:c r="C115" s="34" t="str">
        <x:v>SRI</x:v>
      </x:c>
      <x:c r="D115" s="34" t="str">
        <x:v>China</x:v>
      </x:c>
      <x:c r="E115" s="34" t="str">
        <x:v>East Asia</x:v>
      </x:c>
      <x:c r="F115" s="34" t="str">
        <x:v>Robotics; multi-axis; test</x:v>
      </x:c>
      <x:c r="G115" s="34" t="str">
        <x:v>Strain gauge</x:v>
      </x:c>
      <x:c r="H115" s="34" t="str">
        <x:v>Six-axis force/torque sensors, multi-axis load cells and data-acquisition systems</x:v>
      </x:c>
      <x:c r="I115" s="34" t="str">
        <x:v>A</x:v>
      </x:c>
      <x:c r="J115" s="34" t="str">
        <x:v>First-party material identifies development and manufacture of multi-axis force/torque sensors.</x:v>
      </x:c>
      <x:c r="K115" s="34" t="str">
        <x:v>https://www.sunrise-instruments.com/</x:v>
      </x:c>
      <x:c r="L115" s="34" t="str"/>
      <x:c r="M115" s="34" t="str"/>
      <x:c r="N115" s="36" t="n">
        <x:v>46227</x:v>
      </x:c>
    </x:row>
    <x:row r="116" ht="45" customHeight="1">
      <x:c r="A116" s="30" t="str">
        <x:v>Kunwei Technology</x:v>
      </x:c>
      <x:c r="B116" s="30" t="str"/>
      <x:c r="C116" s="30" t="str">
        <x:v>Kunwei</x:v>
      </x:c>
      <x:c r="D116" s="30" t="str">
        <x:v>China</x:v>
      </x:c>
      <x:c r="E116" s="30" t="str">
        <x:v>East Asia</x:v>
      </x:c>
      <x:c r="F116" s="30" t="str">
        <x:v>Robotics; multi-axis; industrial</x:v>
      </x:c>
      <x:c r="G116" s="30" t="str">
        <x:v>Strain gauge</x:v>
      </x:c>
      <x:c r="H116" s="30" t="str">
        <x:v>Six-axis force/torque sensors and intelligent force-control systems</x:v>
      </x:c>
      <x:c r="I116" s="30" t="str">
        <x:v>A</x:v>
      </x:c>
      <x:c r="J116" s="30" t="str">
        <x:v>First-party material identifies proprietary force/torque sensor R&amp;D and production.</x:v>
      </x:c>
      <x:c r="K116" s="30" t="str">
        <x:v>https://www.kunweisense.com/</x:v>
      </x:c>
      <x:c r="L116" s="30" t="str"/>
      <x:c r="M116" s="30" t="str"/>
      <x:c r="N116" s="37" t="n">
        <x:v>46227</x:v>
      </x:c>
    </x:row>
    <x:row r="117" ht="45" customHeight="1">
      <x:c r="A117" s="34" t="str">
        <x:v>UTE Technology</x:v>
      </x:c>
      <x:c r="B117" s="34" t="str"/>
      <x:c r="C117" s="34" t="str">
        <x:v>UTE</x:v>
      </x:c>
      <x:c r="D117" s="34" t="str">
        <x:v>Taiwan</x:v>
      </x:c>
      <x:c r="E117" s="34" t="str">
        <x:v>East Asia</x:v>
      </x:c>
      <x:c r="F117" s="34" t="str">
        <x:v>Industrial weighing; OEM; medical</x:v>
      </x:c>
      <x:c r="G117" s="34" t="str">
        <x:v>Strain gauge</x:v>
      </x:c>
      <x:c r="H117" s="34" t="str">
        <x:v>Single-point, beam, compression, miniature and custom load cells</x:v>
      </x:c>
      <x:c r="I117" s="34" t="str">
        <x:v>A</x:v>
      </x:c>
      <x:c r="J117" s="34" t="str">
        <x:v>First-party material identifies Taiwan-based load-cell design and manufacturing.</x:v>
      </x:c>
      <x:c r="K117" s="34" t="str">
        <x:v>https://www.ute.com.tw/</x:v>
      </x:c>
      <x:c r="L117" s="34" t="str"/>
      <x:c r="M117" s="34" t="str"/>
      <x:c r="N117" s="36" t="n">
        <x:v>46227</x:v>
      </x:c>
    </x:row>
    <x:row r="118" ht="45" customHeight="1">
      <x:c r="A118" s="30" t="str">
        <x:v>CAS Corporation</x:v>
      </x:c>
      <x:c r="B118" s="30" t="str"/>
      <x:c r="C118" s="30" t="str">
        <x:v>CAS</x:v>
      </x:c>
      <x:c r="D118" s="30" t="str">
        <x:v>South Korea</x:v>
      </x:c>
      <x:c r="E118" s="30" t="str">
        <x:v>East Asia</x:v>
      </x:c>
      <x:c r="F118" s="30" t="str">
        <x:v>Industrial weighing; retail; vehicle scales</x:v>
      </x:c>
      <x:c r="G118" s="30" t="str">
        <x:v>Strain gauge; digital</x:v>
      </x:c>
      <x:c r="H118" s="30" t="str">
        <x:v>Single-point, beam, canister, compression and digital load cells</x:v>
      </x:c>
      <x:c r="I118" s="30" t="str">
        <x:v>A</x:v>
      </x:c>
      <x:c r="J118" s="30" t="str">
        <x:v>First-party company material identifies CAS load-cell manufacturing operations.</x:v>
      </x:c>
      <x:c r="K118" s="30" t="str">
        <x:v>https://www.cas.co.kr/</x:v>
      </x:c>
      <x:c r="L118" s="30" t="str"/>
      <x:c r="M118" s="30" t="str"/>
      <x:c r="N118" s="37" t="n">
        <x:v>46227</x:v>
      </x:c>
    </x:row>
    <x:row r="119" ht="45" customHeight="1">
      <x:c r="A119" s="34" t="str">
        <x:v>Bongshin Loadcell</x:v>
      </x:c>
      <x:c r="B119" s="34" t="str"/>
      <x:c r="C119" s="34" t="str">
        <x:v>Bongshin</x:v>
      </x:c>
      <x:c r="D119" s="34" t="str">
        <x:v>South Korea</x:v>
      </x:c>
      <x:c r="E119" s="34" t="str">
        <x:v>East Asia</x:v>
      </x:c>
      <x:c r="F119" s="34" t="str">
        <x:v>Industrial; lifting; test; vehicle weighing</x:v>
      </x:c>
      <x:c r="G119" s="34" t="str">
        <x:v>Strain gauge</x:v>
      </x:c>
      <x:c r="H119" s="34" t="str">
        <x:v>Load cells, torque sensors, load pins and weighing modules</x:v>
      </x:c>
      <x:c r="I119" s="34" t="str">
        <x:v>A</x:v>
      </x:c>
      <x:c r="J119" s="34" t="str">
        <x:v>First-party material identifies Bongshin as a load-cell designer and manufacturer.</x:v>
      </x:c>
      <x:c r="K119" s="34" t="str">
        <x:v>https://www.bongshin.com/</x:v>
      </x:c>
      <x:c r="L119" s="34" t="str"/>
      <x:c r="M119" s="34" t="str"/>
      <x:c r="N119" s="36" t="n">
        <x:v>46227</x:v>
      </x:c>
    </x:row>
    <x:row r="120" ht="45" customHeight="1">
      <x:c r="A120" s="30" t="str">
        <x:v>DACELL</x:v>
      </x:c>
      <x:c r="B120" s="30" t="str"/>
      <x:c r="C120" s="30" t="str">
        <x:v>DACELL</x:v>
      </x:c>
      <x:c r="D120" s="30" t="str">
        <x:v>South Korea</x:v>
      </x:c>
      <x:c r="E120" s="30" t="str">
        <x:v>East Asia</x:v>
      </x:c>
      <x:c r="F120" s="30" t="str">
        <x:v>Industrial; test; OEM; custom</x:v>
      </x:c>
      <x:c r="G120" s="30" t="str">
        <x:v>Strain gauge</x:v>
      </x:c>
      <x:c r="H120" s="30" t="str">
        <x:v>Load cells, torque sensors, pressure sensors and indicators</x:v>
      </x:c>
      <x:c r="I120" s="30" t="str">
        <x:v>A</x:v>
      </x:c>
      <x:c r="J120" s="30" t="str">
        <x:v>First-party material presents DACELL's own force-transducer development and production.</x:v>
      </x:c>
      <x:c r="K120" s="30" t="str">
        <x:v>https://www.dacell.com/</x:v>
      </x:c>
      <x:c r="L120" s="30" t="str"/>
      <x:c r="M120" s="30" t="str"/>
      <x:c r="N120" s="37" t="n">
        <x:v>46227</x:v>
      </x:c>
    </x:row>
    <x:row r="121" ht="45" customHeight="1">
      <x:c r="A121" s="34" t="str">
        <x:v>SETech</x:v>
      </x:c>
      <x:c r="B121" s="34" t="str"/>
      <x:c r="C121" s="34" t="str">
        <x:v>SETech</x:v>
      </x:c>
      <x:c r="D121" s="34" t="str">
        <x:v>South Korea</x:v>
      </x:c>
      <x:c r="E121" s="34" t="str">
        <x:v>East Asia</x:v>
      </x:c>
      <x:c r="F121" s="34" t="str">
        <x:v>Industrial; test; robotics; custom</x:v>
      </x:c>
      <x:c r="G121" s="34" t="str">
        <x:v>Strain gauge</x:v>
      </x:c>
      <x:c r="H121" s="34" t="str">
        <x:v>Load cells, torque sensors, multi-axis sensors and amplifiers</x:v>
      </x:c>
      <x:c r="I121" s="34" t="str">
        <x:v>A</x:v>
      </x:c>
      <x:c r="J121" s="34" t="str">
        <x:v>First-party material identifies Korean load-cell design and manufacturing.</x:v>
      </x:c>
      <x:c r="K121" s="34" t="str">
        <x:v>https://www.setech.co.kr/</x:v>
      </x:c>
      <x:c r="L121" s="34" t="str"/>
      <x:c r="M121" s="34" t="str"/>
      <x:c r="N121" s="36" t="n">
        <x:v>46227</x:v>
      </x:c>
    </x:row>
    <x:row r="122" ht="45" customHeight="1">
      <x:c r="A122" s="30" t="str">
        <x:v>AIDIN Robotics</x:v>
      </x:c>
      <x:c r="B122" s="30" t="str"/>
      <x:c r="C122" s="30" t="str">
        <x:v>AIDIN</x:v>
      </x:c>
      <x:c r="D122" s="30" t="str">
        <x:v>South Korea</x:v>
      </x:c>
      <x:c r="E122" s="30" t="str">
        <x:v>East Asia</x:v>
      </x:c>
      <x:c r="F122" s="30" t="str">
        <x:v>Robotics; multi-axis force/torque</x:v>
      </x:c>
      <x:c r="G122" s="30" t="str">
        <x:v>Strain gauge</x:v>
      </x:c>
      <x:c r="H122" s="30" t="str">
        <x:v>Six-axis force/torque and tactile sensors for robots</x:v>
      </x:c>
      <x:c r="I122" s="30" t="str">
        <x:v>A</x:v>
      </x:c>
      <x:c r="J122" s="30" t="str">
        <x:v>First-party material identifies proprietary robotic force-sensor R&amp;D and manufacturing.</x:v>
      </x:c>
      <x:c r="K122" s="30" t="str">
        <x:v>https://www.aidinrobotics.co.kr/</x:v>
      </x:c>
      <x:c r="L122" s="30" t="str"/>
      <x:c r="M122" s="30" t="str"/>
      <x:c r="N122" s="37" t="n">
        <x:v>46227</x:v>
      </x:c>
    </x:row>
    <x:row r="123" ht="45" customHeight="1">
      <x:c r="A123" s="34" t="str">
        <x:v>ROBOTOUS</x:v>
      </x:c>
      <x:c r="B123" s="34" t="str"/>
      <x:c r="C123" s="34" t="str">
        <x:v>ROBOTOUS</x:v>
      </x:c>
      <x:c r="D123" s="34" t="str">
        <x:v>South Korea</x:v>
      </x:c>
      <x:c r="E123" s="34" t="str">
        <x:v>East Asia</x:v>
      </x:c>
      <x:c r="F123" s="34" t="str">
        <x:v>Robotics; multi-axis force/torque</x:v>
      </x:c>
      <x:c r="G123" s="34" t="str">
        <x:v>Strain gauge</x:v>
      </x:c>
      <x:c r="H123" s="34" t="str">
        <x:v>Six-axis force/torque sensors, gripper sensors and robot force-control products</x:v>
      </x:c>
      <x:c r="I123" s="34" t="str">
        <x:v>A</x:v>
      </x:c>
      <x:c r="J123" s="34" t="str">
        <x:v>First-party material identifies the company as a force/torque sensor manufacturer.</x:v>
      </x:c>
      <x:c r="K123" s="34" t="str">
        <x:v>https://www.robotous.com/</x:v>
      </x:c>
      <x:c r="L123" s="34" t="str"/>
      <x:c r="M123" s="34" t="str"/>
      <x:c r="N123" s="36" t="n">
        <x:v>46227</x:v>
      </x:c>
    </x:row>
    <x:row r="124" ht="45" customHeight="1">
      <x:c r="A124" s="30" t="str">
        <x:v>Kyowa Electronic Instruments</x:v>
      </x:c>
      <x:c r="B124" s="30" t="str"/>
      <x:c r="C124" s="30" t="str">
        <x:v>Kyowa</x:v>
      </x:c>
      <x:c r="D124" s="30" t="str">
        <x:v>Japan</x:v>
      </x:c>
      <x:c r="E124" s="30" t="str">
        <x:v>East Asia</x:v>
      </x:c>
      <x:c r="F124" s="30" t="str">
        <x:v>Test &amp; measurement; industrial; automotive; aerospace</x:v>
      </x:c>
      <x:c r="G124" s="30" t="str">
        <x:v>Strain gauge</x:v>
      </x:c>
      <x:c r="H124" s="30" t="str">
        <x:v>Load cells, multi-component force transducers, force plates and strain sensors</x:v>
      </x:c>
      <x:c r="I124" s="30" t="str">
        <x:v>A</x:v>
      </x:c>
      <x:c r="J124" s="30" t="str">
        <x:v>First-party material identifies Kyowa's development and manufacture of load cells and transducers.</x:v>
      </x:c>
      <x:c r="K124" s="30" t="str">
        <x:v>https://www.kyowa-ei.com/eng/product/category/force/</x:v>
      </x:c>
      <x:c r="L124" s="30" t="str"/>
      <x:c r="M124" s="30" t="str"/>
      <x:c r="N124" s="37" t="n">
        <x:v>46227</x:v>
      </x:c>
    </x:row>
    <x:row r="125" ht="45" customHeight="1">
      <x:c r="A125" s="34" t="str">
        <x:v>MinebeaMitsumi</x:v>
      </x:c>
      <x:c r="B125" s="34" t="str"/>
      <x:c r="C125" s="34" t="str">
        <x:v>NMB; Minebea</x:v>
      </x:c>
      <x:c r="D125" s="34" t="str">
        <x:v>Japan</x:v>
      </x:c>
      <x:c r="E125" s="34" t="str">
        <x:v>East Asia</x:v>
      </x:c>
      <x:c r="F125" s="34" t="str">
        <x:v>Industrial weighing; OEM; medical; custom</x:v>
      </x:c>
      <x:c r="G125" s="34" t="str">
        <x:v>Strain gauge</x:v>
      </x:c>
      <x:c r="H125" s="34" t="str">
        <x:v>Single-point, beam, compression, tension and miniature load cells</x:v>
      </x:c>
      <x:c r="I125" s="34" t="str">
        <x:v>A</x:v>
      </x:c>
      <x:c r="J125" s="34" t="str">
        <x:v>First-party material identifies global load-cell development and manufacturing.</x:v>
      </x:c>
      <x:c r="K125" s="34" t="str">
        <x:v>https://product.minebeamitsumi.com/en/product/category/mcd/loadcell/</x:v>
      </x:c>
      <x:c r="L125" s="34" t="str"/>
      <x:c r="M125" s="34" t="str"/>
      <x:c r="N125" s="36" t="n">
        <x:v>46227</x:v>
      </x:c>
    </x:row>
    <x:row r="126" ht="45" customHeight="1">
      <x:c r="A126" s="30" t="str">
        <x:v>Showa Measuring Instruments</x:v>
      </x:c>
      <x:c r="B126" s="30" t="str"/>
      <x:c r="C126" s="30" t="str">
        <x:v>SHOWA</x:v>
      </x:c>
      <x:c r="D126" s="30" t="str">
        <x:v>Japan</x:v>
      </x:c>
      <x:c r="E126" s="30" t="str">
        <x:v>East Asia</x:v>
      </x:c>
      <x:c r="F126" s="30" t="str">
        <x:v>Industrial; test; custom</x:v>
      </x:c>
      <x:c r="G126" s="30" t="str">
        <x:v>Strain gauge</x:v>
      </x:c>
      <x:c r="H126" s="30" t="str">
        <x:v>Load cells, torque transducers, pressure sensors and indicators</x:v>
      </x:c>
      <x:c r="I126" s="30" t="str">
        <x:v>A</x:v>
      </x:c>
      <x:c r="J126" s="30" t="str">
        <x:v>First-party material identifies Japanese design and manufacture of load cells.</x:v>
      </x:c>
      <x:c r="K126" s="30" t="str">
        <x:v>https://www.showa-sokki.co.jp/en/</x:v>
      </x:c>
      <x:c r="L126" s="30" t="str"/>
      <x:c r="M126" s="30" t="str"/>
      <x:c r="N126" s="37" t="n">
        <x:v>46227</x:v>
      </x:c>
    </x:row>
    <x:row r="127" ht="45" customHeight="1">
      <x:c r="A127" s="34" t="str">
        <x:v>A&amp;D Company</x:v>
      </x:c>
      <x:c r="B127" s="34" t="str"/>
      <x:c r="C127" s="34" t="str">
        <x:v>A&amp;D</x:v>
      </x:c>
      <x:c r="D127" s="34" t="str">
        <x:v>Japan</x:v>
      </x:c>
      <x:c r="E127" s="34" t="str">
        <x:v>East Asia</x:v>
      </x:c>
      <x:c r="F127" s="34" t="str">
        <x:v>Industrial weighing; laboratory; process; testing</x:v>
      </x:c>
      <x:c r="G127" s="34" t="str">
        <x:v>Strain gauge; electromagnetic</x:v>
      </x:c>
      <x:c r="H127" s="34" t="str">
        <x:v>Load cells, weighing modules and force-measurement instruments</x:v>
      </x:c>
      <x:c r="I127" s="34" t="str">
        <x:v>A</x:v>
      </x:c>
      <x:c r="J127" s="34" t="str">
        <x:v>First-party product material identifies A&amp;D's own load-cell and weighing-sensor families.</x:v>
      </x:c>
      <x:c r="K127" s="34" t="str">
        <x:v>https://www.aandd.jp/products/weighing/loadcell/</x:v>
      </x:c>
      <x:c r="L127" s="34" t="str"/>
      <x:c r="M127" s="34" t="str"/>
      <x:c r="N127" s="36" t="n">
        <x:v>46227</x:v>
      </x:c>
    </x:row>
    <x:row r="128" ht="45" customHeight="1">
      <x:c r="A128" s="30" t="str">
        <x:v>Tokyo Measuring Instruments Laboratory</x:v>
      </x:c>
      <x:c r="B128" s="30" t="str"/>
      <x:c r="C128" s="30" t="str">
        <x:v>TML</x:v>
      </x:c>
      <x:c r="D128" s="30" t="str">
        <x:v>Japan</x:v>
      </x:c>
      <x:c r="E128" s="30" t="str">
        <x:v>East Asia</x:v>
      </x:c>
      <x:c r="F128" s="30" t="str">
        <x:v>Civil engineering; structural test; industrial</x:v>
      </x:c>
      <x:c r="G128" s="30" t="str">
        <x:v>Strain gauge</x:v>
      </x:c>
      <x:c r="H128" s="30" t="str">
        <x:v>Load cells, force transducers, load plates and strain-measurement systems</x:v>
      </x:c>
      <x:c r="I128" s="30" t="str">
        <x:v>A</x:v>
      </x:c>
      <x:c r="J128" s="30" t="str">
        <x:v>First-party material identifies TML's design and manufacture of strain-gauge transducers.</x:v>
      </x:c>
      <x:c r="K128" s="30" t="str">
        <x:v>https://tml.jp/e/product/transducers/force/</x:v>
      </x:c>
      <x:c r="L128" s="30" t="str"/>
      <x:c r="M128" s="30" t="str"/>
      <x:c r="N128" s="37" t="n">
        <x:v>46227</x:v>
      </x:c>
    </x:row>
    <x:row r="129" ht="45" customHeight="1">
      <x:c r="A129" s="34" t="str">
        <x:v>NTS</x:v>
      </x:c>
      <x:c r="B129" s="34" t="str"/>
      <x:c r="C129" s="34" t="str">
        <x:v>NTS</x:v>
      </x:c>
      <x:c r="D129" s="34" t="str">
        <x:v>Japan</x:v>
      </x:c>
      <x:c r="E129" s="34" t="str">
        <x:v>East Asia</x:v>
      </x:c>
      <x:c r="F129" s="34" t="str">
        <x:v>Industrial; test; robotics; custom</x:v>
      </x:c>
      <x:c r="G129" s="34" t="str">
        <x:v>Strain gauge</x:v>
      </x:c>
      <x:c r="H129" s="34" t="str">
        <x:v>Load cells, multi-axis force sensors, torque and pressure transducers</x:v>
      </x:c>
      <x:c r="I129" s="34" t="str">
        <x:v>A</x:v>
      </x:c>
      <x:c r="J129" s="34" t="str">
        <x:v>First-party material identifies Japanese force-sensor design and manufacturing.</x:v>
      </x:c>
      <x:c r="K129" s="34" t="str">
        <x:v>https://www.nts-measure.co.jp/english/</x:v>
      </x:c>
      <x:c r="L129" s="34" t="str"/>
      <x:c r="M129" s="34" t="str"/>
      <x:c r="N129" s="36" t="n">
        <x:v>46227</x:v>
      </x:c>
    </x:row>
    <x:row r="130" ht="45" customHeight="1">
      <x:c r="A130" s="30" t="str">
        <x:v>UNIPULSE Corporation</x:v>
      </x:c>
      <x:c r="B130" s="30" t="str"/>
      <x:c r="C130" s="30" t="str">
        <x:v>UNIPULSE</x:v>
      </x:c>
      <x:c r="D130" s="30" t="str">
        <x:v>Japan</x:v>
      </x:c>
      <x:c r="E130" s="30" t="str">
        <x:v>East Asia</x:v>
      </x:c>
      <x:c r="F130" s="30" t="str">
        <x:v>Industrial weighing; robotics; press control</x:v>
      </x:c>
      <x:c r="G130" s="30" t="str">
        <x:v>Strain gauge</x:v>
      </x:c>
      <x:c r="H130" s="30" t="str">
        <x:v>Load cells, force sensors, robotic force/torque sensors and weighing controllers</x:v>
      </x:c>
      <x:c r="I130" s="30" t="str">
        <x:v>A</x:v>
      </x:c>
      <x:c r="J130" s="30" t="str">
        <x:v>First-party material identifies proprietary sensor and force-control product development.</x:v>
      </x:c>
      <x:c r="K130" s="30" t="str">
        <x:v>https://www.unipulse.tokyo/en/product/loadcell/</x:v>
      </x:c>
      <x:c r="L130" s="30" t="str"/>
      <x:c r="M130" s="30" t="str"/>
      <x:c r="N130" s="37" t="n">
        <x:v>46227</x:v>
      </x:c>
    </x:row>
    <x:row r="131" ht="45" customHeight="1">
      <x:c r="A131" s="34" t="str">
        <x:v>Aikoh Engineering</x:v>
      </x:c>
      <x:c r="B131" s="34" t="str"/>
      <x:c r="C131" s="34" t="str">
        <x:v>AIKOH</x:v>
      </x:c>
      <x:c r="D131" s="34" t="str">
        <x:v>Japan</x:v>
      </x:c>
      <x:c r="E131" s="34" t="str">
        <x:v>East Asia</x:v>
      </x:c>
      <x:c r="F131" s="34" t="str">
        <x:v>Force testing; industrial; custom</x:v>
      </x:c>
      <x:c r="G131" s="34" t="str">
        <x:v>Strain gauge</x:v>
      </x:c>
      <x:c r="H131" s="34" t="str">
        <x:v>Load cells, force gauges, testing machines and custom force sensors</x:v>
      </x:c>
      <x:c r="I131" s="34" t="str">
        <x:v>A</x:v>
      </x:c>
      <x:c r="J131" s="34" t="str">
        <x:v>First-party material identifies force-sensor and test-system development and manufacture.</x:v>
      </x:c>
      <x:c r="K131" s="34" t="str">
        <x:v>https://www.aikoh.co.jp/english/</x:v>
      </x:c>
      <x:c r="L131" s="34" t="str"/>
      <x:c r="M131" s="34" t="str"/>
      <x:c r="N131" s="36" t="n">
        <x:v>46227</x:v>
      </x:c>
    </x:row>
    <x:row r="132" ht="45" customHeight="1">
      <x:c r="A132" s="30" t="str">
        <x:v>IMADA</x:v>
      </x:c>
      <x:c r="B132" s="30" t="str"/>
      <x:c r="C132" s="30" t="str">
        <x:v>IMADA</x:v>
      </x:c>
      <x:c r="D132" s="30" t="str">
        <x:v>Japan</x:v>
      </x:c>
      <x:c r="E132" s="30" t="str">
        <x:v>East Asia</x:v>
      </x:c>
      <x:c r="F132" s="30" t="str">
        <x:v>Force testing; quality control; industrial</x:v>
      </x:c>
      <x:c r="G132" s="30" t="str">
        <x:v>Strain gauge</x:v>
      </x:c>
      <x:c r="H132" s="30" t="str">
        <x:v>Force gauges, external load cells and force-test stands</x:v>
      </x:c>
      <x:c r="I132" s="30" t="str">
        <x:v>A</x:v>
      </x:c>
      <x:c r="J132" s="30" t="str">
        <x:v>First-party material presents IMADA-designed force sensors and test equipment.</x:v>
      </x:c>
      <x:c r="K132" s="30" t="str">
        <x:v>https://www.imada.com/</x:v>
      </x:c>
      <x:c r="L132" s="30" t="str"/>
      <x:c r="M132" s="30" t="str"/>
      <x:c r="N132" s="37" t="n">
        <x:v>46227</x:v>
      </x:c>
    </x:row>
    <x:row r="133" ht="45" customHeight="1">
      <x:c r="A133" s="34" t="str">
        <x:v>Nitta Corporation</x:v>
      </x:c>
      <x:c r="B133" s="34" t="str"/>
      <x:c r="C133" s="34" t="str">
        <x:v>Nitta; IFS</x:v>
      </x:c>
      <x:c r="D133" s="34" t="str">
        <x:v>Japan</x:v>
      </x:c>
      <x:c r="E133" s="34" t="str">
        <x:v>East Asia</x:v>
      </x:c>
      <x:c r="F133" s="34" t="str">
        <x:v>Robotics; multi-axis; industrial</x:v>
      </x:c>
      <x:c r="G133" s="34" t="str">
        <x:v>Strain gauge</x:v>
      </x:c>
      <x:c r="H133" s="34" t="str">
        <x:v>Six-axis force/torque sensors and robot force-control systems</x:v>
      </x:c>
      <x:c r="I133" s="34" t="str">
        <x:v>A</x:v>
      </x:c>
      <x:c r="J133" s="34" t="str">
        <x:v>First-party material identifies Nitta's proprietary six-axis force sensors.</x:v>
      </x:c>
      <x:c r="K133" s="34" t="str">
        <x:v>https://www.nitta.co.jp/product/sensor/</x:v>
      </x:c>
      <x:c r="L133" s="34" t="str"/>
      <x:c r="M133" s="34" t="str"/>
      <x:c r="N133" s="36" t="n">
        <x:v>46227</x:v>
      </x:c>
    </x:row>
    <x:row r="134" ht="45" customHeight="1">
      <x:c r="A134" s="30" t="str">
        <x:v>WACOH-TECH</x:v>
      </x:c>
      <x:c r="B134" s="30" t="str"/>
      <x:c r="C134" s="30" t="str">
        <x:v>WACOH</x:v>
      </x:c>
      <x:c r="D134" s="30" t="str">
        <x:v>Japan</x:v>
      </x:c>
      <x:c r="E134" s="30" t="str">
        <x:v>East Asia</x:v>
      </x:c>
      <x:c r="F134" s="30" t="str">
        <x:v>Robotics; multi-axis; medical</x:v>
      </x:c>
      <x:c r="G134" s="30" t="str">
        <x:v>Strain gauge; optical</x:v>
      </x:c>
      <x:c r="H134" s="30" t="str">
        <x:v>Six-axis force/torque sensors and compact robot force sensors</x:v>
      </x:c>
      <x:c r="I134" s="30" t="str">
        <x:v>A</x:v>
      </x:c>
      <x:c r="J134" s="30" t="str">
        <x:v>First-party material identifies in-house force-sensor development and production.</x:v>
      </x:c>
      <x:c r="K134" s="30" t="str">
        <x:v>https://www.wacoh-tech.com/</x:v>
      </x:c>
      <x:c r="L134" s="30" t="str"/>
      <x:c r="M134" s="30" t="str"/>
      <x:c r="N134" s="37" t="n">
        <x:v>46227</x:v>
      </x:c>
    </x:row>
    <x:row r="135" ht="45" customHeight="1">
      <x:c r="A135" s="34" t="str">
        <x:v>Leptrino</x:v>
      </x:c>
      <x:c r="B135" s="34" t="str"/>
      <x:c r="C135" s="34" t="str">
        <x:v>Leptrino</x:v>
      </x:c>
      <x:c r="D135" s="34" t="str">
        <x:v>Japan</x:v>
      </x:c>
      <x:c r="E135" s="34" t="str">
        <x:v>East Asia</x:v>
      </x:c>
      <x:c r="F135" s="34" t="str">
        <x:v>Robotics; multi-axis; industrial</x:v>
      </x:c>
      <x:c r="G135" s="34" t="str">
        <x:v>Strain gauge</x:v>
      </x:c>
      <x:c r="H135" s="34" t="str">
        <x:v>Compact six-axis force/torque sensors and interface electronics</x:v>
      </x:c>
      <x:c r="I135" s="34" t="str">
        <x:v>A</x:v>
      </x:c>
      <x:c r="J135" s="34" t="str">
        <x:v>First-party technical material identifies Leptrino's own sensor designs.</x:v>
      </x:c>
      <x:c r="K135" s="34" t="str">
        <x:v>https://www.leptrino.co.jp/</x:v>
      </x:c>
      <x:c r="L135" s="34" t="str"/>
      <x:c r="M135" s="34" t="str"/>
      <x:c r="N135" s="36" t="n">
        <x:v>46227</x:v>
      </x:c>
    </x:row>
    <x:row r="136" ht="45" customHeight="1">
      <x:c r="A136" s="30" t="str">
        <x:v>Nireco Corporation</x:v>
      </x:c>
      <x:c r="B136" s="30" t="str"/>
      <x:c r="C136" s="30" t="str">
        <x:v>Nireco</x:v>
      </x:c>
      <x:c r="D136" s="30" t="str">
        <x:v>Japan</x:v>
      </x:c>
      <x:c r="E136" s="30" t="str">
        <x:v>East Asia</x:v>
      </x:c>
      <x:c r="F136" s="30" t="str">
        <x:v>Web tension; steel; converting</x:v>
      </x:c>
      <x:c r="G136" s="30" t="str">
        <x:v>Strain gauge</x:v>
      </x:c>
      <x:c r="H136" s="30" t="str">
        <x:v>Web-tension detectors, load cells and process-control sensors</x:v>
      </x:c>
      <x:c r="I136" s="30" t="str">
        <x:v>A</x:v>
      </x:c>
      <x:c r="J136" s="30" t="str">
        <x:v>First-party material identifies proprietary tension-sensor development and manufacture.</x:v>
      </x:c>
      <x:c r="K136" s="30" t="str">
        <x:v>https://www.nireco.com/english/</x:v>
      </x:c>
      <x:c r="L136" s="30" t="str"/>
      <x:c r="M136" s="30" t="str"/>
      <x:c r="N136" s="37" t="n">
        <x:v>46227</x:v>
      </x:c>
    </x:row>
    <x:row r="137" ht="45" customHeight="1">
      <x:c r="A137" s="34" t="str">
        <x:v>Mavin Transducers</x:v>
      </x:c>
      <x:c r="B137" s="34" t="str"/>
      <x:c r="C137" s="34" t="str">
        <x:v>Mavin</x:v>
      </x:c>
      <x:c r="D137" s="34" t="str">
        <x:v>India</x:v>
      </x:c>
      <x:c r="E137" s="34" t="str">
        <x:v>South Asia</x:v>
      </x:c>
      <x:c r="F137" s="34" t="str">
        <x:v>Industrial weighing; process; OEM</x:v>
      </x:c>
      <x:c r="G137" s="34" t="str">
        <x:v>Strain gauge</x:v>
      </x:c>
      <x:c r="H137" s="34" t="str">
        <x:v>Single-point, beam, compression, tension and custom load cells</x:v>
      </x:c>
      <x:c r="I137" s="34" t="str">
        <x:v>A</x:v>
      </x:c>
      <x:c r="J137" s="34" t="str">
        <x:v>First-party material identifies Indian load-cell design and manufacturing.</x:v>
      </x:c>
      <x:c r="K137" s="34" t="str">
        <x:v>https://mavin.in/</x:v>
      </x:c>
      <x:c r="L137" s="34" t="str"/>
      <x:c r="M137" s="34" t="str"/>
      <x:c r="N137" s="36" t="n">
        <x:v>46227</x:v>
      </x:c>
    </x:row>
    <x:row r="138" ht="45" customHeight="1">
      <x:c r="A138" s="30" t="str">
        <x:v>Sensotronics Sanmar</x:v>
      </x:c>
      <x:c r="B138" s="30" t="str">
        <x:v>Sanmar Group</x:v>
      </x:c>
      <x:c r="C138" s="30" t="str">
        <x:v>Sensotronics</x:v>
      </x:c>
      <x:c r="D138" s="30" t="str">
        <x:v>India</x:v>
      </x:c>
      <x:c r="E138" s="30" t="str">
        <x:v>South Asia</x:v>
      </x:c>
      <x:c r="F138" s="30" t="str">
        <x:v>Industrial weighing; process; vehicle scales</x:v>
      </x:c>
      <x:c r="G138" s="30" t="str">
        <x:v>Strain gauge</x:v>
      </x:c>
      <x:c r="H138" s="30" t="str">
        <x:v>Beam, compression, tension, single-point and custom load cells</x:v>
      </x:c>
      <x:c r="I138" s="30" t="str">
        <x:v>A</x:v>
      </x:c>
      <x:c r="J138" s="30" t="str">
        <x:v>First-party material identifies load-cell manufacturing operations in India.</x:v>
      </x:c>
      <x:c r="K138" s="30" t="str">
        <x:v>https://www.sensotronics.co.in/</x:v>
      </x:c>
      <x:c r="L138" s="30" t="str"/>
      <x:c r="M138" s="30" t="str"/>
      <x:c r="N138" s="37" t="n">
        <x:v>46227</x:v>
      </x:c>
    </x:row>
    <x:row r="139" ht="45" customHeight="1">
      <x:c r="A139" s="34" t="str">
        <x:v>IPA Private Limited</x:v>
      </x:c>
      <x:c r="B139" s="34" t="str"/>
      <x:c r="C139" s="34" t="str">
        <x:v>IPA</x:v>
      </x:c>
      <x:c r="D139" s="34" t="str">
        <x:v>India</x:v>
      </x:c>
      <x:c r="E139" s="34" t="str">
        <x:v>South Asia</x:v>
      </x:c>
      <x:c r="F139" s="34" t="str">
        <x:v>Industrial weighing; automation; custom</x:v>
      </x:c>
      <x:c r="G139" s="34" t="str">
        <x:v>Strain gauge</x:v>
      </x:c>
      <x:c r="H139" s="34" t="str">
        <x:v>Load cells, force transducers, weighing modules and custom sensors</x:v>
      </x:c>
      <x:c r="I139" s="34" t="str">
        <x:v>A</x:v>
      </x:c>
      <x:c r="J139" s="34" t="str">
        <x:v>First-party material identifies Indian design and manufacture of load cells.</x:v>
      </x:c>
      <x:c r="K139" s="34" t="str">
        <x:v>https://www.ipaindia.com/</x:v>
      </x:c>
      <x:c r="L139" s="34" t="str"/>
      <x:c r="M139" s="34" t="str"/>
      <x:c r="N139" s="36" t="n">
        <x:v>46227</x:v>
      </x:c>
    </x:row>
    <x:row r="140" ht="45" customHeight="1">
      <x:c r="A140" s="30" t="str">
        <x:v>Syscon Instruments</x:v>
      </x:c>
      <x:c r="B140" s="30" t="str"/>
      <x:c r="C140" s="30" t="str">
        <x:v>Syscon</x:v>
      </x:c>
      <x:c r="D140" s="30" t="str">
        <x:v>India</x:v>
      </x:c>
      <x:c r="E140" s="30" t="str">
        <x:v>South Asia</x:v>
      </x:c>
      <x:c r="F140" s="30" t="str">
        <x:v>Industrial weighing; process; OEM</x:v>
      </x:c>
      <x:c r="G140" s="30" t="str">
        <x:v>Strain gauge</x:v>
      </x:c>
      <x:c r="H140" s="30" t="str">
        <x:v>Load cells, torque sensors, weighing modules and instrumentation</x:v>
      </x:c>
      <x:c r="I140" s="30" t="str">
        <x:v>A</x:v>
      </x:c>
      <x:c r="J140" s="30" t="str">
        <x:v>First-party material identifies sensor engineering and manufacturing.</x:v>
      </x:c>
      <x:c r="K140" s="30" t="str">
        <x:v>https://www.sysconinstruments.com/</x:v>
      </x:c>
      <x:c r="L140" s="30" t="str"/>
      <x:c r="M140" s="30" t="str"/>
      <x:c r="N140" s="37" t="n">
        <x:v>46227</x:v>
      </x:c>
    </x:row>
    <x:row r="141" ht="45" customHeight="1">
      <x:c r="A141" s="34" t="str">
        <x:v>Rudrra Sensor</x:v>
      </x:c>
      <x:c r="B141" s="34" t="str"/>
      <x:c r="C141" s="34" t="str">
        <x:v>Rudrra</x:v>
      </x:c>
      <x:c r="D141" s="34" t="str">
        <x:v>India</x:v>
      </x:c>
      <x:c r="E141" s="34" t="str">
        <x:v>South Asia</x:v>
      </x:c>
      <x:c r="F141" s="34" t="str">
        <x:v>Industrial; OEM; test; custom</x:v>
      </x:c>
      <x:c r="G141" s="34" t="str">
        <x:v>Strain gauge</x:v>
      </x:c>
      <x:c r="H141" s="34" t="str">
        <x:v>Load cells, force sensors, torque transducers and custom solutions</x:v>
      </x:c>
      <x:c r="I141" s="34" t="str">
        <x:v>A</x:v>
      </x:c>
      <x:c r="J141" s="34" t="str">
        <x:v>First-party material identifies load-cell design and production.</x:v>
      </x:c>
      <x:c r="K141" s="34" t="str">
        <x:v>https://www.rudrrasensor.com/</x:v>
      </x:c>
      <x:c r="L141" s="34" t="str"/>
      <x:c r="M141" s="34" t="str"/>
      <x:c r="N141" s="36" t="n">
        <x:v>46227</x:v>
      </x:c>
    </x:row>
    <x:row r="142" ht="45" customHeight="1">
      <x:c r="A142" s="30" t="str">
        <x:v>Monad Electronics</x:v>
      </x:c>
      <x:c r="B142" s="30" t="str"/>
      <x:c r="C142" s="30" t="str">
        <x:v>Monad</x:v>
      </x:c>
      <x:c r="D142" s="30" t="str">
        <x:v>India</x:v>
      </x:c>
      <x:c r="E142" s="30" t="str">
        <x:v>South Asia</x:v>
      </x:c>
      <x:c r="F142" s="30" t="str">
        <x:v>Industrial weighing; process; lifting</x:v>
      </x:c>
      <x:c r="G142" s="30" t="str">
        <x:v>Strain gauge</x:v>
      </x:c>
      <x:c r="H142" s="30" t="str">
        <x:v>Load cells, load pins, weighing systems and custom transducers</x:v>
      </x:c>
      <x:c r="I142" s="30" t="str">
        <x:v>A</x:v>
      </x:c>
      <x:c r="J142" s="30" t="str">
        <x:v>First-party material presents Monad's own load-cell manufacturing capability.</x:v>
      </x:c>
      <x:c r="K142" s="30" t="str">
        <x:v>https://www.monadindia.com/</x:v>
      </x:c>
      <x:c r="L142" s="30" t="str"/>
      <x:c r="M142" s="30" t="str"/>
      <x:c r="N142" s="37" t="n">
        <x:v>46227</x:v>
      </x:c>
    </x:row>
    <x:row r="143" ht="45" customHeight="1">
      <x:c r="A143" s="34" t="str">
        <x:v>Sushma Industries</x:v>
      </x:c>
      <x:c r="B143" s="34" t="str"/>
      <x:c r="C143" s="34" t="str">
        <x:v>Sushma</x:v>
      </x:c>
      <x:c r="D143" s="34" t="str">
        <x:v>India</x:v>
      </x:c>
      <x:c r="E143" s="34" t="str">
        <x:v>South Asia</x:v>
      </x:c>
      <x:c r="F143" s="34" t="str">
        <x:v>Force calibration; testing; industrial</x:v>
      </x:c>
      <x:c r="G143" s="34" t="str">
        <x:v>Strain gauge</x:v>
      </x:c>
      <x:c r="H143" s="34" t="str">
        <x:v>Load cells, reference force transducers and calibration machines</x:v>
      </x:c>
      <x:c r="I143" s="34" t="str">
        <x:v>A</x:v>
      </x:c>
      <x:c r="J143" s="34" t="str">
        <x:v>First-party material identifies in-house force-transducer and calibration-system manufacture.</x:v>
      </x:c>
      <x:c r="K143" s="34" t="str">
        <x:v>https://www.sushmaindustries.com/</x:v>
      </x:c>
      <x:c r="L143" s="34" t="str"/>
      <x:c r="M143" s="34" t="str"/>
      <x:c r="N143" s="36" t="n">
        <x:v>46227</x:v>
      </x:c>
    </x:row>
    <x:row r="144" ht="45" customHeight="1">
      <x:c r="A144" s="30" t="str">
        <x:v>Protocontrol Instruments</x:v>
      </x:c>
      <x:c r="B144" s="30" t="str"/>
      <x:c r="C144" s="30" t="str">
        <x:v>Protocontrol</x:v>
      </x:c>
      <x:c r="D144" s="30" t="str">
        <x:v>India</x:v>
      </x:c>
      <x:c r="E144" s="30" t="str">
        <x:v>South Asia</x:v>
      </x:c>
      <x:c r="F144" s="30" t="str">
        <x:v>Industrial automation; force and tension</x:v>
      </x:c>
      <x:c r="G144" s="30" t="str">
        <x:v>Strain gauge</x:v>
      </x:c>
      <x:c r="H144" s="30" t="str">
        <x:v>Load cells, force transducers, tension sensors and process instrumentation</x:v>
      </x:c>
      <x:c r="I144" s="30" t="str">
        <x:v>A</x:v>
      </x:c>
      <x:c r="J144" s="30" t="str">
        <x:v>First-party material identifies Indian sensor design and manufacturing.</x:v>
      </x:c>
      <x:c r="K144" s="30" t="str">
        <x:v>https://www.protocontrol.com/</x:v>
      </x:c>
      <x:c r="L144" s="30" t="str"/>
      <x:c r="M144" s="30" t="str"/>
      <x:c r="N144" s="37" t="n">
        <x:v>46227</x:v>
      </x:c>
    </x:row>
    <x:row r="145" ht="45" customHeight="1">
      <x:c r="A145" s="34" t="str">
        <x:v>Alfa Instrumentos Eletrônicos</x:v>
      </x:c>
      <x:c r="B145" s="34" t="str"/>
      <x:c r="C145" s="34" t="str">
        <x:v>Alfa</x:v>
      </x:c>
      <x:c r="D145" s="34" t="str">
        <x:v>Brazil</x:v>
      </x:c>
      <x:c r="E145" s="34" t="str">
        <x:v>Latin America</x:v>
      </x:c>
      <x:c r="F145" s="34" t="str">
        <x:v>Industrial weighing; process; vehicle scales</x:v>
      </x:c>
      <x:c r="G145" s="34" t="str">
        <x:v>Strain gauge</x:v>
      </x:c>
      <x:c r="H145" s="34" t="str">
        <x:v>Load cells, weighing modules and industrial scales</x:v>
      </x:c>
      <x:c r="I145" s="34" t="str">
        <x:v>B</x:v>
      </x:c>
      <x:c r="J145" s="34" t="str">
        <x:v>First-party manufacturing material and Brazilian legal-metrology records identify Alfa as a load-cell maker.</x:v>
      </x:c>
      <x:c r="K145" s="34" t="str">
        <x:v>https://www.alfainstrumentos.com.br/</x:v>
      </x:c>
      <x:c r="L145" s="34" t="str"/>
      <x:c r="M145" s="34" t="str"/>
      <x:c r="N145" s="36" t="n">
        <x:v>46227</x:v>
      </x:c>
    </x:row>
    <x:row r="146" ht="45" customHeight="1">
      <x:c r="A146" s="30" t="str">
        <x:v>MK Controle e Instrumentação / MK Cells</x:v>
      </x:c>
      <x:c r="B146" s="30" t="str"/>
      <x:c r="C146" s="30" t="str">
        <x:v>MK Cells</x:v>
      </x:c>
      <x:c r="D146" s="30" t="str">
        <x:v>Brazil</x:v>
      </x:c>
      <x:c r="E146" s="30" t="str">
        <x:v>Latin America</x:v>
      </x:c>
      <x:c r="F146" s="30" t="str">
        <x:v>Industrial weighing; process; lifting</x:v>
      </x:c>
      <x:c r="G146" s="30" t="str">
        <x:v>Strain gauge</x:v>
      </x:c>
      <x:c r="H146" s="30" t="str">
        <x:v>Load cells, weighing modules, load pins and force sensors</x:v>
      </x:c>
      <x:c r="I146" s="30" t="str">
        <x:v>A</x:v>
      </x:c>
      <x:c r="J146" s="30" t="str">
        <x:v>First-party material identifies Brazilian load-cell development and manufacture.</x:v>
      </x:c>
      <x:c r="K146" s="30" t="str">
        <x:v>https://www.mkcells.com.br/</x:v>
      </x:c>
      <x:c r="L146" s="30" t="str"/>
      <x:c r="M146" s="30" t="str"/>
      <x:c r="N146" s="37" t="n">
        <x:v>46227</x:v>
      </x:c>
    </x:row>
    <x:row r="147" ht="45" customHeight="1">
      <x:c r="A147" s="34" t="str">
        <x:v>SAICON</x:v>
      </x:c>
      <x:c r="B147" s="34" t="str"/>
      <x:c r="C147" s="34" t="str">
        <x:v>SAICON</x:v>
      </x:c>
      <x:c r="D147" s="34" t="str">
        <x:v>Brazil</x:v>
      </x:c>
      <x:c r="E147" s="34" t="str">
        <x:v>Latin America</x:v>
      </x:c>
      <x:c r="F147" s="34" t="str">
        <x:v>Heavy industrial; high capacity; custom</x:v>
      </x:c>
      <x:c r="G147" s="34" t="str">
        <x:v>Strain gauge</x:v>
      </x:c>
      <x:c r="H147" s="34" t="str">
        <x:v>Large-capacity compression and custom load cells</x:v>
      </x:c>
      <x:c r="I147" s="34" t="str">
        <x:v>A</x:v>
      </x:c>
      <x:c r="J147" s="34" t="str">
        <x:v>First-party material explicitly states that SAICON produces large-capacity load cells.</x:v>
      </x:c>
      <x:c r="K147" s="34" t="str">
        <x:v>https://www.saicon.com.br/</x:v>
      </x:c>
      <x:c r="L147" s="34" t="str"/>
      <x:c r="M147" s="34" t="str"/>
      <x:c r="N147" s="36" t="n">
        <x:v>46227</x:v>
      </x:c>
    </x:row>
  </x:sheetData>
  <x:mergeCells>
    <x:mergeCell ref="A1:N1"/>
    <x:mergeCell ref="A2:N2"/>
  </x:mergeCells>
  <x:conditionalFormatting sqref="I5:I147">
    <x:cfRule type="expression" dxfId="0" priority="1">
      <x:formula>I5="A"</x:formula>
    </x:cfRule>
    <x:cfRule type="expression" dxfId="1" priority="2">
      <x:formula>I5="B"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3b305904294a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38" hidden="0" customWidth="1"/>
    <x:col min="4" max="4" width="55" hidden="0" customWidth="1"/>
    <x:col min="5" max="5" width="40" hidden="0" customWidth="1"/>
    <x:col min="6" max="6" width="44" hidden="0" customWidth="1"/>
    <x:col min="7" max="7" width="25" hidden="0" customWidth="1"/>
    <x:col min="8" max="8" width="13" hidden="0" customWidth="1"/>
  </x:cols>
  <x:sheetData>
    <x:row r="1" ht="34" customHeight="1">
      <x:c r="A1" s="5" t="str">
        <x:v>Organizations Requiring Model-Level Verification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These firms are often called manufacturers, but the evidence reviewed did not cleanly prove independent, in-house force-sensor manufacture for the relevant models.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22" t="str">
        <x:v>Organization / brand</x:v>
      </x:c>
      <x:c r="B4" s="22" t="str">
        <x:v>HQ country</x:v>
      </x:c>
      <x:c r="C4" s="22" t="str">
        <x:v>Why it appears relevant</x:v>
      </x:c>
      <x:c r="D4" s="22" t="str">
        <x:v>Why not yet confirmed as an independent sensor manufacturer</x:v>
      </x:c>
      <x:c r="E4" s="22" t="str">
        <x:v>Best public source</x:v>
      </x:c>
      <x:c r="F4" s="22" t="str">
        <x:v>Recommended verification step</x:v>
      </x:c>
      <x:c r="G4" s="22" t="str">
        <x:v>Status</x:v>
      </x:c>
      <x:c r="H4" s="22" t="str">
        <x:v>Checked date</x:v>
      </x:c>
    </x:row>
    <x:row r="5" ht="45" customHeight="1">
      <x:c r="A5" s="34" t="str">
        <x:v>Rice Lake Weighing Systems</x:v>
      </x:c>
      <x:c r="B5" s="34" t="str">
        <x:v>United States</x:v>
      </x:c>
      <x:c r="C5" s="34" t="str">
        <x:v>Large branded load-cell catalog and metrology presence</x:v>
      </x:c>
      <x:c r="D5" s="34" t="str">
        <x:v>Public catalog does not consistently separate Rice Lake-made cells from sourced/private-label products.</x:v>
      </x:c>
      <x:c r="E5" s="34" t="str">
        <x:v>https://www.ricelake.com/products/load-cells/</x:v>
      </x:c>
      <x:c r="F5" s="34" t="str">
        <x:v>Obtain model-level factory declarations or manufacturer certificates.</x:v>
      </x:c>
      <x:c r="G5" s="34" t="str">
        <x:v>Needs model-level verification</x:v>
      </x:c>
      <x:c r="H5" s="36" t="n">
        <x:v>46227</x:v>
      </x:c>
    </x:row>
    <x:row r="6" ht="45" customHeight="1">
      <x:c r="A6" s="30" t="str">
        <x:v>Measurement Systems International (MSI)</x:v>
      </x:c>
      <x:c r="B6" s="30" t="str">
        <x:v>United States</x:v>
      </x:c>
      <x:c r="C6" s="30" t="str">
        <x:v>Lifting load cells, crane scales and tension links</x:v>
      </x:c>
      <x:c r="D6" s="30" t="str">
        <x:v>Owned by Rice Lake; public evidence reviewed does not clearly identify which sensor bodies are made in-house.</x:v>
      </x:c>
      <x:c r="E6" s="30" t="str">
        <x:v>https://www.ricelake.com/msi/</x:v>
      </x:c>
      <x:c r="F6" s="30" t="str">
        <x:v>Verify manufacturing site and legal manufacturer on certificates.</x:v>
      </x:c>
      <x:c r="G6" s="30" t="str">
        <x:v>Needs verification</x:v>
      </x:c>
      <x:c r="H6" s="37" t="n">
        <x:v>46227</x:v>
      </x:c>
    </x:row>
    <x:row r="7" ht="45" customHeight="1">
      <x:c r="A7" s="34" t="str">
        <x:v>MTS Systems</x:v>
      </x:c>
      <x:c r="B7" s="34" t="str">
        <x:v>United States</x:v>
      </x:c>
      <x:c r="C7" s="34" t="str">
        <x:v>Test-system force transducers and high-force testing platforms</x:v>
      </x:c>
      <x:c r="D7" s="34" t="str">
        <x:v>MTS develops systems, but model-level evidence for in-house load-cell manufacture was not conclusive.</x:v>
      </x:c>
      <x:c r="E7" s="34" t="str">
        <x:v>https://www.mts.com/</x:v>
      </x:c>
      <x:c r="F7" s="34" t="str">
        <x:v>Review calibration certificates and sensor nameplates.</x:v>
      </x:c>
      <x:c r="G7" s="34" t="str">
        <x:v>Needs verification</x:v>
      </x:c>
      <x:c r="H7" s="36" t="n">
        <x:v>46227</x:v>
      </x:c>
    </x:row>
    <x:row r="8" ht="45" customHeight="1">
      <x:c r="A8" s="30" t="str">
        <x:v>AMETEK Sensors, Test &amp; Calibration</x:v>
      </x:c>
      <x:c r="B8" s="30" t="str">
        <x:v>United States</x:v>
      </x:c>
      <x:c r="C8" s="30" t="str">
        <x:v>Chatillon/Lloyd force testing and external load cells</x:v>
      </x:c>
      <x:c r="D8" s="30" t="str">
        <x:v>Own test instruments are clear; independent load-cell production versus sourcing varies by product line.</x:v>
      </x:c>
      <x:c r="E8" s="30" t="str">
        <x:v>https://www.ametektest.com/</x:v>
      </x:c>
      <x:c r="F8" s="30" t="str">
        <x:v>Request country-of-origin and manufacturer declaration by model.</x:v>
      </x:c>
      <x:c r="G8" s="30" t="str">
        <x:v>Needs model-level verification</x:v>
      </x:c>
      <x:c r="H8" s="37" t="n">
        <x:v>46227</x:v>
      </x:c>
    </x:row>
    <x:row r="9" ht="45" customHeight="1">
      <x:c r="A9" s="34" t="str">
        <x:v>Sensata Technologies / Kavlico</x:v>
      </x:c>
      <x:c r="B9" s="34" t="str">
        <x:v>United States</x:v>
      </x:c>
      <x:c r="C9" s="34" t="str">
        <x:v>Custom force and load transducers for OEM programs</x:v>
      </x:c>
      <x:c r="D9" s="34" t="str">
        <x:v>The portfolio is largely custom and public load-cell manufacturing evidence is sparse.</x:v>
      </x:c>
      <x:c r="E9" s="34" t="str">
        <x:v>https://www.sensata.com/</x:v>
      </x:c>
      <x:c r="F9" s="34" t="str">
        <x:v>Confirm active force-transducer product line and factory.</x:v>
      </x:c>
      <x:c r="G9" s="34" t="str">
        <x:v>Needs verification</x:v>
      </x:c>
      <x:c r="H9" s="36" t="n">
        <x:v>46227</x:v>
      </x:c>
    </x:row>
    <x:row r="10" ht="45" customHeight="1">
      <x:c r="A10" s="30" t="str">
        <x:v>National Scale Technology</x:v>
      </x:c>
      <x:c r="B10" s="30" t="str">
        <x:v>United States</x:v>
      </x:c>
      <x:c r="C10" s="30" t="str">
        <x:v>Load cells and custom weighing products appear in catalogs</x:v>
      </x:c>
      <x:c r="D10" s="30" t="str">
        <x:v>Public evidence does not clearly distinguish manufacture from systems integration.</x:v>
      </x:c>
      <x:c r="E10" s="30" t="str">
        <x:v>https://www.nationalscale.com/</x:v>
      </x:c>
      <x:c r="F10" s="30" t="str">
        <x:v>Request legal manufacturer and factory evidence.</x:v>
      </x:c>
      <x:c r="G10" s="30" t="str">
        <x:v>Needs verification</x:v>
      </x:c>
      <x:c r="H10" s="37" t="n">
        <x:v>46227</x:v>
      </x:c>
    </x:row>
    <x:row r="11" ht="45" customHeight="1">
      <x:c r="A11" s="34" t="str">
        <x:v>Tacuna Systems</x:v>
      </x:c>
      <x:c r="B11" s="34" t="str">
        <x:v>United States</x:v>
      </x:c>
      <x:c r="C11" s="34" t="str">
        <x:v>Sells load cells, amplifiers and measurement systems</x:v>
      </x:c>
      <x:c r="D11" s="34" t="str">
        <x:v>Public positioning mixes branded products, integration and resale; own sensor manufacture is unclear.</x:v>
      </x:c>
      <x:c r="E11" s="34" t="str">
        <x:v>https://tacunasystems.com/</x:v>
      </x:c>
      <x:c r="F11" s="34" t="str">
        <x:v>Verify which models are mechanically designed and produced by Tacuna.</x:v>
      </x:c>
      <x:c r="G11" s="34" t="str">
        <x:v>Likely integrator / mixed</x:v>
      </x:c>
      <x:c r="H11" s="36" t="n">
        <x:v>46227</x:v>
      </x:c>
    </x:row>
    <x:row r="12" ht="45" customHeight="1">
      <x:c r="A12" s="30" t="str">
        <x:v>Baldwin / Instron legacy force transducers</x:v>
      </x:c>
      <x:c r="B12" s="30" t="str">
        <x:v>United States</x:v>
      </x:c>
      <x:c r="C12" s="30" t="str">
        <x:v>Historic load-cell and universal-test-machine lineage</x:v>
      </x:c>
      <x:c r="D12" s="30" t="str">
        <x:v>Current legal manufacturing entity and active standalone product line are unclear.</x:v>
      </x:c>
      <x:c r="E12" s="30" t="str">
        <x:v>https://www.instron.com/</x:v>
      </x:c>
      <x:c r="F12" s="30" t="str">
        <x:v>Consolidate under Instron unless a separate current legal maker is found.</x:v>
      </x:c>
      <x:c r="G12" s="30" t="str">
        <x:v>Legacy brand</x:v>
      </x:c>
      <x:c r="H12" s="37" t="n">
        <x:v>46227</x:v>
      </x:c>
    </x:row>
    <x:row r="13" ht="45" customHeight="1">
      <x:c r="A13" s="34" t="str">
        <x:v>PT Limited</x:v>
      </x:c>
      <x:c r="B13" s="34" t="str">
        <x:v>New Zealand</x:v>
      </x:c>
      <x:c r="C13" s="34" t="str">
        <x:v>Branded load cells and weighing components</x:v>
      </x:c>
      <x:c r="D13" s="34" t="str">
        <x:v>Public material reviewed does not clearly separate own production from globally sourced cells.</x:v>
      </x:c>
      <x:c r="E13" s="34" t="str">
        <x:v>https://www.ptglobal.com/</x:v>
      </x:c>
      <x:c r="F13" s="34" t="str">
        <x:v>Obtain factory/manufacturer declarations.</x:v>
      </x:c>
      <x:c r="G13" s="34" t="str">
        <x:v>Needs verification</x:v>
      </x:c>
      <x:c r="H13" s="36" t="n">
        <x:v>46227</x:v>
      </x:c>
    </x:row>
    <x:row r="14" ht="45" customHeight="1">
      <x:c r="A14" s="30" t="str">
        <x:v>Instrotech</x:v>
      </x:c>
      <x:c r="B14" s="30" t="str">
        <x:v>South Africa</x:v>
      </x:c>
      <x:c r="C14" s="30" t="str">
        <x:v>Force and weighing instrumentation with branded sensor offerings</x:v>
      </x:c>
      <x:c r="D14" s="30" t="str">
        <x:v>The company appears primarily to manufacture instrumentation and distribute sensors.</x:v>
      </x:c>
      <x:c r="E14" s="30" t="str">
        <x:v>https://www.instrotech.co.za/</x:v>
      </x:c>
      <x:c r="F14" s="30" t="str">
        <x:v>Verify whether any load-cell models are designed and built in-house.</x:v>
      </x:c>
      <x:c r="G14" s="30" t="str">
        <x:v>Likely mixed / distributor</x:v>
      </x:c>
      <x:c r="H14" s="37" t="n">
        <x:v>46227</x:v>
      </x:c>
    </x:row>
    <x:row r="15" ht="45" customHeight="1">
      <x:c r="A15" s="34" t="str">
        <x:v>Loadcell Services</x:v>
      </x:c>
      <x:c r="B15" s="34" t="str">
        <x:v>South Africa</x:v>
      </x:c>
      <x:c r="C15" s="34" t="str">
        <x:v>Custom load-cell service and weighing products</x:v>
      </x:c>
      <x:c r="D15" s="34" t="str">
        <x:v>Repair, calibration and system integration are clear; original sensor manufacture is not.</x:v>
      </x:c>
      <x:c r="E15" s="34" t="str">
        <x:v>https://www.loadcell.co.za/</x:v>
      </x:c>
      <x:c r="F15" s="34" t="str">
        <x:v>Request evidence for original mechanical/sensing-element manufacture.</x:v>
      </x:c>
      <x:c r="G15" s="34" t="str">
        <x:v>Needs verification</x:v>
      </x:c>
      <x:c r="H15" s="36" t="n">
        <x:v>46227</x:v>
      </x:c>
    </x:row>
    <x:row r="16" ht="45" customHeight="1">
      <x:c r="A16" s="30" t="str">
        <x:v>Precia Molen</x:v>
      </x:c>
      <x:c r="B16" s="30" t="str">
        <x:v>France</x:v>
      </x:c>
      <x:c r="C16" s="30" t="str">
        <x:v>Major weighing-system manufacturer with branded load cells</x:v>
      </x:c>
      <x:c r="D16" s="30" t="str">
        <x:v>The public evidence reviewed did not establish whether all branded load cells are made internally.</x:v>
      </x:c>
      <x:c r="E16" s="30" t="str">
        <x:v>https://www.preciamolen.com/</x:v>
      </x:c>
      <x:c r="F16" s="30" t="str">
        <x:v>Check OIML certificates and factory declarations by model.</x:v>
      </x:c>
      <x:c r="G16" s="30" t="str">
        <x:v>Needs model-level verification</x:v>
      </x:c>
      <x:c r="H16" s="37" t="n">
        <x:v>46227</x:v>
      </x:c>
    </x:row>
    <x:row r="17" ht="45" customHeight="1">
      <x:c r="A17" s="34" t="str">
        <x:v>CAPTELS</x:v>
      </x:c>
      <x:c r="B17" s="34" t="str">
        <x:v>France</x:v>
      </x:c>
      <x:c r="C17" s="34" t="str">
        <x:v>Vehicle and industrial weighing products; load sensors</x:v>
      </x:c>
      <x:c r="D17" s="34" t="str">
        <x:v>Own system design is clear; independent load-cell manufacturing evidence is incomplete.</x:v>
      </x:c>
      <x:c r="E17" s="34" t="str">
        <x:v>https://www.captels.com/</x:v>
      </x:c>
      <x:c r="F17" s="34" t="str">
        <x:v>Confirm sensor factory and legal manufacturer.</x:v>
      </x:c>
      <x:c r="G17" s="34" t="str">
        <x:v>Needs verification</x:v>
      </x:c>
      <x:c r="H17" s="36" t="n">
        <x:v>46227</x:v>
      </x:c>
    </x:row>
    <x:row r="18" ht="45" customHeight="1">
      <x:c r="A18" s="30" t="str">
        <x:v>ANDILOG Technologies</x:v>
      </x:c>
      <x:c r="B18" s="30" t="str">
        <x:v>France</x:v>
      </x:c>
      <x:c r="C18" s="30" t="str">
        <x:v>Force gauges and external force sensors</x:v>
      </x:c>
      <x:c r="D18" s="30" t="str">
        <x:v>Force-test equipment is proprietary; external load cells may be sourced in some ranges.</x:v>
      </x:c>
      <x:c r="E18" s="30" t="str">
        <x:v>https://www.andilog.com/</x:v>
      </x:c>
      <x:c r="F18" s="30" t="str">
        <x:v>Request manufacturer declaration by load-cell model.</x:v>
      </x:c>
      <x:c r="G18" s="30" t="str">
        <x:v>Needs model-level verification</x:v>
      </x:c>
      <x:c r="H18" s="37" t="n">
        <x:v>46227</x:v>
      </x:c>
    </x:row>
    <x:row r="19" ht="45" customHeight="1">
      <x:c r="A19" s="34" t="str">
        <x:v>Magtrol</x:v>
      </x:c>
      <x:c r="B19" s="34" t="str">
        <x:v>Switzerland</x:v>
      </x:c>
      <x:c r="C19" s="34" t="str">
        <x:v>Force transducers and test systems</x:v>
      </x:c>
      <x:c r="D19" s="34" t="str">
        <x:v>Current force-sensor catalog is clear, but public manufacturing language was not decisive.</x:v>
      </x:c>
      <x:c r="E19" s="34" t="str">
        <x:v>https://www.magtrol.com/</x:v>
      </x:c>
      <x:c r="F19" s="34" t="str">
        <x:v>Confirm active in-house sensor production.</x:v>
      </x:c>
      <x:c r="G19" s="34" t="str">
        <x:v>Needs verification</x:v>
      </x:c>
      <x:c r="H19" s="36" t="n">
        <x:v>46227</x:v>
      </x:c>
    </x:row>
    <x:row r="20" ht="45" customHeight="1">
      <x:c r="A20" s="30" t="str">
        <x:v>DIGI SENS</x:v>
      </x:c>
      <x:c r="B20" s="30" t="str">
        <x:v>Switzerland</x:v>
      </x:c>
      <x:c r="C20" s="30" t="str">
        <x:v>Digital weighing sensors and load-cell-based systems</x:v>
      </x:c>
      <x:c r="D20" s="30" t="str">
        <x:v>System and electronics development are clear; sensing-element production is not.</x:v>
      </x:c>
      <x:c r="E20" s="30" t="str">
        <x:v>https://www.digisens.ch/</x:v>
      </x:c>
      <x:c r="F20" s="30" t="str">
        <x:v>Verify whether transducer bodies are made in-house.</x:v>
      </x:c>
      <x:c r="G20" s="30" t="str">
        <x:v>Needs verification</x:v>
      </x:c>
      <x:c r="H20" s="37" t="n">
        <x:v>46227</x:v>
      </x:c>
    </x:row>
    <x:row r="21" ht="45" customHeight="1">
      <x:c r="A21" s="34" t="str">
        <x:v>SIKA Dr. Siebert &amp; Kühn</x:v>
      </x:c>
      <x:c r="B21" s="34" t="str">
        <x:v>Germany</x:v>
      </x:c>
      <x:c r="C21" s="34" t="str">
        <x:v>Force sensors and calibration equipment appear in portfolio</x:v>
      </x:c>
      <x:c r="D21" s="34" t="str">
        <x:v>Public evidence reviewed was insufficient to establish active load-cell manufacture.</x:v>
      </x:c>
      <x:c r="E21" s="34" t="str">
        <x:v>https://www.sika.net/</x:v>
      </x:c>
      <x:c r="F21" s="34" t="str">
        <x:v>Review product datasheets and manufacturing declarations.</x:v>
      </x:c>
      <x:c r="G21" s="34" t="str">
        <x:v>Needs verification</x:v>
      </x:c>
      <x:c r="H21" s="36" t="n">
        <x:v>46227</x:v>
      </x:c>
    </x:row>
    <x:row r="22" ht="45" customHeight="1">
      <x:c r="A22" s="30" t="str">
        <x:v>AST Angewandte System Technik</x:v>
      </x:c>
      <x:c r="B22" s="30" t="str">
        <x:v>Germany</x:v>
      </x:c>
      <x:c r="C22" s="30" t="str">
        <x:v>Force transducers and weighing technology</x:v>
      </x:c>
      <x:c r="D22" s="30" t="str">
        <x:v>Legal entity/product lineage and present manufacturing status need confirmation.</x:v>
      </x:c>
      <x:c r="E22" s="30" t="str">
        <x:v>https://www.ast.de/</x:v>
      </x:c>
      <x:c r="F22" s="30" t="str">
        <x:v>Confirm active legal manufacturer and production site.</x:v>
      </x:c>
      <x:c r="G22" s="30" t="str">
        <x:v>Needs verification</x:v>
      </x:c>
      <x:c r="H22" s="37" t="n">
        <x:v>46227</x:v>
      </x:c>
    </x:row>
    <x:row r="23" ht="45" customHeight="1">
      <x:c r="A23" s="34" t="str">
        <x:v>Hans Schmidt &amp; Co.</x:v>
      </x:c>
      <x:c r="B23" s="34" t="str">
        <x:v>Germany</x:v>
      </x:c>
      <x:c r="C23" s="34" t="str">
        <x:v>Tension meters and force-measurement sensors</x:v>
      </x:c>
      <x:c r="D23" s="34" t="str">
        <x:v>Many products are proprietary instruments, but load-cell sensing-element manufacture is unclear.</x:v>
      </x:c>
      <x:c r="E23" s="34" t="str">
        <x:v>https://www.hans-schmidt.com/</x:v>
      </x:c>
      <x:c r="F23" s="34" t="str">
        <x:v>Request manufacturer declaration for sensor models.</x:v>
      </x:c>
      <x:c r="G23" s="34" t="str">
        <x:v>Needs model-level verification</x:v>
      </x:c>
      <x:c r="H23" s="36" t="n">
        <x:v>46227</x:v>
      </x:c>
    </x:row>
    <x:row r="24" ht="45" customHeight="1">
      <x:c r="A24" s="30" t="str">
        <x:v>MEGATRON Elektronik</x:v>
      </x:c>
      <x:c r="B24" s="30" t="str">
        <x:v>Germany</x:v>
      </x:c>
      <x:c r="C24" s="30" t="str">
        <x:v>Branded force sensors and load cells</x:v>
      </x:c>
      <x:c r="D24" s="30" t="str">
        <x:v>MEGATRON is also a distributor; model-level origin is not transparent.</x:v>
      </x:c>
      <x:c r="E24" s="30" t="str">
        <x:v>https://www.megatron.de/en/products/sensors/force-sensors.html</x:v>
      </x:c>
      <x:c r="F24" s="30" t="str">
        <x:v>Separate internally manufactured models from represented brands.</x:v>
      </x:c>
      <x:c r="G24" s="30" t="str">
        <x:v>Mixed manufacturer / distributor</x:v>
      </x:c>
      <x:c r="H24" s="37" t="n">
        <x:v>46227</x:v>
      </x:c>
    </x:row>
    <x:row r="25" ht="45" customHeight="1">
      <x:c r="A25" s="34" t="str">
        <x:v>S2Tech / DS Europe</x:v>
      </x:c>
      <x:c r="B25" s="34" t="str">
        <x:v>Italy</x:v>
      </x:c>
      <x:c r="C25" s="34" t="str">
        <x:v>Load-cell and force-transducer catalog</x:v>
      </x:c>
      <x:c r="D25" s="34" t="str">
        <x:v>The public record reviewed did not clearly establish factory ownership and legal-manufacturer identity.</x:v>
      </x:c>
      <x:c r="E25" s="34" t="str">
        <x:v>https://www.s2tech.it/</x:v>
      </x:c>
      <x:c r="F25" s="34" t="str">
        <x:v>Confirm manufacturing site and quality certificates.</x:v>
      </x:c>
      <x:c r="G25" s="34" t="str">
        <x:v>Needs verification</x:v>
      </x:c>
      <x:c r="H25" s="36" t="n">
        <x:v>46227</x:v>
      </x:c>
    </x:row>
    <x:row r="26" ht="45" customHeight="1">
      <x:c r="A26" s="30" t="str">
        <x:v>NBC Elettronica</x:v>
      </x:c>
      <x:c r="B26" s="30" t="str">
        <x:v>Italy</x:v>
      </x:c>
      <x:c r="C26" s="30" t="str">
        <x:v>Load-cell and weighing-component portfolio</x:v>
      </x:c>
      <x:c r="D26" s="30" t="str">
        <x:v>Public manufacturing evidence was not sufficiently explicit in the reviewed sources.</x:v>
      </x:c>
      <x:c r="E26" s="30" t="str">
        <x:v>https://www.nbc-el.it/</x:v>
      </x:c>
      <x:c r="F26" s="30" t="str">
        <x:v>Obtain declaration of in-house load-cell manufacture.</x:v>
      </x:c>
      <x:c r="G26" s="30" t="str">
        <x:v>Needs verification</x:v>
      </x:c>
      <x:c r="H26" s="37" t="n">
        <x:v>46227</x:v>
      </x:c>
    </x:row>
    <x:row r="27" ht="45" customHeight="1">
      <x:c r="A27" s="34" t="str">
        <x:v>Dini Argeo</x:v>
      </x:c>
      <x:c r="B27" s="34" t="str">
        <x:v>Italy</x:v>
      </x:c>
      <x:c r="C27" s="34" t="str">
        <x:v>Extensive branded load-cell catalog</x:v>
      </x:c>
      <x:c r="D27" s="34" t="str">
        <x:v>The company is a weighing-system maker and distributor; the origin of many load-cell models is unclear.</x:v>
      </x:c>
      <x:c r="E27" s="34" t="str">
        <x:v>https://www.diniargeo.com/</x:v>
      </x:c>
      <x:c r="F27" s="34" t="str">
        <x:v>Verify manufacturer by model and OIML certificate.</x:v>
      </x:c>
      <x:c r="G27" s="34" t="str">
        <x:v>Likely mixed / private label</x:v>
      </x:c>
      <x:c r="H27" s="36" t="n">
        <x:v>46227</x:v>
      </x:c>
    </x:row>
    <x:row r="28" ht="45" customHeight="1">
      <x:c r="A28" s="30" t="str">
        <x:v>Baykon</x:v>
      </x:c>
      <x:c r="B28" s="30" t="str">
        <x:v>Türkiye</x:v>
      </x:c>
      <x:c r="C28" s="30" t="str">
        <x:v>Industrial weighing and load-cell offerings</x:v>
      </x:c>
      <x:c r="D28" s="30" t="str">
        <x:v>Public positioning centers on systems and instruments; sensor manufacture is unclear.</x:v>
      </x:c>
      <x:c r="E28" s="30" t="str">
        <x:v>https://www.baykon.com/</x:v>
      </x:c>
      <x:c r="F28" s="30" t="str">
        <x:v>Request factory evidence for load-cell models.</x:v>
      </x:c>
      <x:c r="G28" s="30" t="str">
        <x:v>Needs verification</x:v>
      </x:c>
      <x:c r="H28" s="37" t="n">
        <x:v>46227</x:v>
      </x:c>
    </x:row>
    <x:row r="29" ht="45" customHeight="1">
      <x:c r="A29" s="34" t="str">
        <x:v>ZEPWN</x:v>
      </x:c>
      <x:c r="B29" s="34" t="str">
        <x:v>Poland</x:v>
      </x:c>
      <x:c r="C29" s="34" t="str">
        <x:v>Polish weighing manufacturer with load-cell products</x:v>
      </x:c>
      <x:c r="D29" s="34" t="str">
        <x:v>Public evidence reviewed did not clearly distinguish captive/system use from independent load-cell production.</x:v>
      </x:c>
      <x:c r="E29" s="34" t="str">
        <x:v>https://www.zepwn.com.pl/</x:v>
      </x:c>
      <x:c r="F29" s="34" t="str">
        <x:v>Check legal-metrology certificates and factory documentation.</x:v>
      </x:c>
      <x:c r="G29" s="34" t="str">
        <x:v>Needs verification</x:v>
      </x:c>
      <x:c r="H29" s="36" t="n">
        <x:v>46227</x:v>
      </x:c>
    </x:row>
    <x:row r="30" ht="45" customHeight="1">
      <x:c r="A30" s="30" t="str">
        <x:v>Tenso-M</x:v>
      </x:c>
      <x:c r="B30" s="30" t="str">
        <x:v>Russia</x:v>
      </x:c>
      <x:c r="C30" s="30" t="str">
        <x:v>Longstanding load-cell and weighing-equipment catalog</x:v>
      </x:c>
      <x:c r="D30" s="30" t="str">
        <x:v>Current operating status, ownership and export availability are difficult to verify independently.</x:v>
      </x:c>
      <x:c r="E30" s="30" t="str">
        <x:v>https://www.tenso-m.ru/</x:v>
      </x:c>
      <x:c r="F30" s="30" t="str">
        <x:v>Verify current legal entity, factory and active product production.</x:v>
      </x:c>
      <x:c r="G30" s="30" t="str">
        <x:v>Needs current-status verification</x:v>
      </x:c>
      <x:c r="H30" s="37" t="n">
        <x:v>46227</x:v>
      </x:c>
    </x:row>
    <x:row r="31" ht="45" customHeight="1">
      <x:c r="A31" s="34" t="str">
        <x:v>Kubota Weighing Systems</x:v>
      </x:c>
      <x:c r="B31" s="34" t="str">
        <x:v>Japan</x:v>
      </x:c>
      <x:c r="C31" s="34" t="str">
        <x:v>Industrial scales and load-cell-based weighing systems</x:v>
      </x:c>
      <x:c r="D31" s="34" t="str">
        <x:v>Captive sensor development is plausible, but standalone load-cell manufacture was not clearly documented.</x:v>
      </x:c>
      <x:c r="E31" s="34" t="str">
        <x:v>https://www.kubota.com/products/scale/</x:v>
      </x:c>
      <x:c r="F31" s="34" t="str">
        <x:v>Request model-level manufacturer certificates.</x:v>
      </x:c>
      <x:c r="G31" s="34" t="str">
        <x:v>Needs verification</x:v>
      </x:c>
      <x:c r="H31" s="36" t="n">
        <x:v>46227</x:v>
      </x:c>
    </x:row>
    <x:row r="32" ht="45" customHeight="1">
      <x:c r="A32" s="30" t="str">
        <x:v>Yamato Scale</x:v>
      </x:c>
      <x:c r="B32" s="30" t="str">
        <x:v>Japan</x:v>
      </x:c>
      <x:c r="C32" s="30" t="str">
        <x:v>Industrial and combination weighing systems</x:v>
      </x:c>
      <x:c r="D32" s="30" t="str">
        <x:v>The firm clearly engineers weighing systems; independent load-cell production is not transparent.</x:v>
      </x:c>
      <x:c r="E32" s="30" t="str">
        <x:v>https://www.yamato-scale.com/</x:v>
      </x:c>
      <x:c r="F32" s="30" t="str">
        <x:v>Confirm which force transducers are made internally.</x:v>
      </x:c>
      <x:c r="G32" s="30" t="str">
        <x:v>Captive / unclear</x:v>
      </x:c>
      <x:c r="H32" s="37" t="n">
        <x:v>46227</x:v>
      </x:c>
    </x:row>
    <x:row r="33" ht="45" customHeight="1">
      <x:c r="A33" s="34" t="str">
        <x:v>Ishida</x:v>
      </x:c>
      <x:c r="B33" s="34" t="str">
        <x:v>Japan</x:v>
      </x:c>
      <x:c r="C33" s="34" t="str">
        <x:v>Major multihead and industrial weighing-system developer</x:v>
      </x:c>
      <x:c r="D33" s="34" t="str">
        <x:v>Own weighing technology is clear; standalone load-cell manufacture is not publicly separated.</x:v>
      </x:c>
      <x:c r="E33" s="34" t="str">
        <x:v>https://www.ishida.com/</x:v>
      </x:c>
      <x:c r="F33" s="34" t="str">
        <x:v>Request sensor manufacturing and origin documentation.</x:v>
      </x:c>
      <x:c r="G33" s="34" t="str">
        <x:v>Captive / unclear</x:v>
      </x:c>
      <x:c r="H33" s="36" t="n">
        <x:v>46227</x:v>
      </x:c>
    </x:row>
    <x:row r="34" ht="45" customHeight="1">
      <x:c r="A34" s="30" t="str">
        <x:v>Shimadzu</x:v>
      </x:c>
      <x:c r="B34" s="30" t="str">
        <x:v>Japan</x:v>
      </x:c>
      <x:c r="C34" s="30" t="str">
        <x:v>Testing-machine load cells and force-measurement systems</x:v>
      </x:c>
      <x:c r="D34" s="30" t="str">
        <x:v>Load cells may be proprietary/captive, but independent manufacture was not conclusively documented.</x:v>
      </x:c>
      <x:c r="E34" s="30" t="str">
        <x:v>https://www.shimadzu.com/an/products/materials-testing/</x:v>
      </x:c>
      <x:c r="F34" s="30" t="str">
        <x:v>Check calibration certificates and legal manufacturer.</x:v>
      </x:c>
      <x:c r="G34" s="30" t="str">
        <x:v>Needs model-level verification</x:v>
      </x:c>
      <x:c r="H34" s="37" t="n">
        <x:v>46227</x:v>
      </x:c>
    </x:row>
    <x:row r="35" ht="45" customHeight="1">
      <x:c r="A35" s="34" t="str">
        <x:v>Tinius Olsen</x:v>
      </x:c>
      <x:c r="B35" s="34" t="str">
        <x:v>United States / United Kingdom</x:v>
      </x:c>
      <x:c r="C35" s="34" t="str">
        <x:v>Materials testing machines and load-cell accessories</x:v>
      </x:c>
      <x:c r="D35" s="34" t="str">
        <x:v>System manufacture is clear; force-transducer production versus sourcing varies by model.</x:v>
      </x:c>
      <x:c r="E35" s="34" t="str">
        <x:v>https://www.tiniusolsen.com/</x:v>
      </x:c>
      <x:c r="F35" s="34" t="str">
        <x:v>Request country-of-origin and manufacturer declaration.</x:v>
      </x:c>
      <x:c r="G35" s="34" t="str">
        <x:v>Needs model-level verification</x:v>
      </x:c>
      <x:c r="H35" s="36" t="n">
        <x:v>46227</x:v>
      </x:c>
    </x:row>
    <x:row r="36" ht="45" customHeight="1">
      <x:c r="A36" s="30" t="str">
        <x:v>Mecmesin</x:v>
      </x:c>
      <x:c r="B36" s="30" t="str">
        <x:v>United Kingdom</x:v>
      </x:c>
      <x:c r="C36" s="30" t="str">
        <x:v>Force testing systems and intelligent load cells</x:v>
      </x:c>
      <x:c r="D36" s="30" t="str">
        <x:v>The company develops test systems and sensor electronics; sensing-element manufacture is not fully clear.</x:v>
      </x:c>
      <x:c r="E36" s="30" t="str">
        <x:v>https://www.mecmesin.com/</x:v>
      </x:c>
      <x:c r="F36" s="30" t="str">
        <x:v>Verify mechanical transducer manufacture by model.</x:v>
      </x:c>
      <x:c r="G36" s="30" t="str">
        <x:v>Needs model-level verification</x:v>
      </x:c>
      <x:c r="H36" s="37" t="n">
        <x:v>46227</x:v>
      </x:c>
    </x:row>
    <x:row r="37" ht="45" customHeight="1">
      <x:c r="A37" s="34" t="str">
        <x:v>Load Monitoring Systems (LMS)</x:v>
      </x:c>
      <x:c r="B37" s="34" t="str">
        <x:v>United Kingdom</x:v>
      </x:c>
      <x:c r="C37" s="34" t="str">
        <x:v>Lifting and offshore load-monitoring products</x:v>
      </x:c>
      <x:c r="D37" s="34" t="str">
        <x:v>Custom engineering is clear; full in-house sensing-element production needs confirmation.</x:v>
      </x:c>
      <x:c r="E37" s="34" t="str">
        <x:v>https://www.loadmonitoringsystems.com/</x:v>
      </x:c>
      <x:c r="F37" s="34" t="str">
        <x:v>Request factory and calibration scope evidence.</x:v>
      </x:c>
      <x:c r="G37" s="34" t="str">
        <x:v>Needs verification</x:v>
      </x:c>
      <x:c r="H37" s="36" t="n">
        <x:v>46227</x:v>
      </x:c>
    </x:row>
    <x:row r="38" ht="45" customHeight="1">
      <x:c r="A38" s="30" t="str">
        <x:v>NMB / Minebea legacy brands</x:v>
      </x:c>
      <x:c r="B38" s="30" t="str">
        <x:v>Japan</x:v>
      </x:c>
      <x:c r="C38" s="30" t="str">
        <x:v>Historic and current load-cell brands</x:v>
      </x:c>
      <x:c r="D38" s="30" t="str">
        <x:v>Brand duplication risk: these products are generally part of MinebeaMitsumi.</x:v>
      </x:c>
      <x:c r="E38" s="30" t="str">
        <x:v>https://product.minebeamitsumi.com/</x:v>
      </x:c>
      <x:c r="F38" s="30" t="str">
        <x:v>Consolidate under MinebeaMitsumi unless a separate legal maker exists.</x:v>
      </x:c>
      <x:c r="G38" s="30" t="str">
        <x:v>Brand consolidation</x:v>
      </x:c>
      <x:c r="H38" s="37" t="n">
        <x:v>46227</x:v>
      </x:c>
    </x:row>
    <x:row r="39" ht="45" customHeight="1">
      <x:c r="A39" s="34" t="str">
        <x:v>Tedea-Huntleigh</x:v>
      </x:c>
      <x:c r="B39" s="34" t="str">
        <x:v>United Kingdom / Israel</x:v>
      </x:c>
      <x:c r="C39" s="34" t="str">
        <x:v>Widely cited load-cell manufacturer brand</x:v>
      </x:c>
      <x:c r="D39" s="34" t="str">
        <x:v>Current products belong to VPG Force Sensors; counting separately would double-count the engineering group.</x:v>
      </x:c>
      <x:c r="E39" s="34" t="str">
        <x:v>https://vpgforcesensors.com/</x:v>
      </x:c>
      <x:c r="F39" s="34" t="str">
        <x:v>Treat as VPG brand, not a separate current manufacturer.</x:v>
      </x:c>
      <x:c r="G39" s="34" t="str">
        <x:v>Consolidated brand</x:v>
      </x:c>
      <x:c r="H39" s="36" t="n">
        <x:v>46227</x:v>
      </x:c>
    </x:row>
    <x:row r="40" ht="45" customHeight="1">
      <x:c r="A40" s="30" t="str">
        <x:v>Sensortronics</x:v>
      </x:c>
      <x:c r="B40" s="30" t="str">
        <x:v>United States</x:v>
      </x:c>
      <x:c r="C40" s="30" t="str">
        <x:v>Widely cited load-cell manufacturer brand</x:v>
      </x:c>
      <x:c r="D40" s="30" t="str">
        <x:v>Current products belong to VPG Force Sensors; counting separately would double-count the engineering group.</x:v>
      </x:c>
      <x:c r="E40" s="30" t="str">
        <x:v>https://vpgforcesensors.com/</x:v>
      </x:c>
      <x:c r="F40" s="30" t="str">
        <x:v>Treat as VPG brand, not a separate current manufacturer.</x:v>
      </x:c>
      <x:c r="G40" s="30" t="str">
        <x:v>Consolidated brand</x:v>
      </x:c>
      <x:c r="H40" s="37" t="n">
        <x:v>46227</x:v>
      </x:c>
    </x:row>
    <x:row r="41" ht="45" customHeight="1">
      <x:c r="A41" s="34" t="str">
        <x:v>Revere Transducers</x:v>
      </x:c>
      <x:c r="B41" s="34" t="str">
        <x:v>Netherlands / United States</x:v>
      </x:c>
      <x:c r="C41" s="34" t="str">
        <x:v>Widely cited load-cell manufacturer brand</x:v>
      </x:c>
      <x:c r="D41" s="34" t="str">
        <x:v>Current products belong to VPG Force Sensors; counting separately would double-count the engineering group.</x:v>
      </x:c>
      <x:c r="E41" s="34" t="str">
        <x:v>https://vpgforcesensors.com/</x:v>
      </x:c>
      <x:c r="F41" s="34" t="str">
        <x:v>Treat as VPG brand, not a separate current manufacturer.</x:v>
      </x:c>
      <x:c r="G41" s="34" t="str">
        <x:v>Consolidated brand</x:v>
      </x:c>
      <x:c r="H41" s="36" t="n">
        <x:v>46227</x:v>
      </x:c>
    </x:row>
    <x:row r="42" ht="45" customHeight="1">
      <x:c r="A42" s="30" t="str">
        <x:v>Celtron</x:v>
      </x:c>
      <x:c r="B42" s="30" t="str">
        <x:v>United States</x:v>
      </x:c>
      <x:c r="C42" s="30" t="str">
        <x:v>Widely cited load-cell manufacturer brand</x:v>
      </x:c>
      <x:c r="D42" s="30" t="str">
        <x:v>Current products belong to VPG Force Sensors; counting separately would double-count the engineering group.</x:v>
      </x:c>
      <x:c r="E42" s="30" t="str">
        <x:v>https://vpgforcesensors.com/</x:v>
      </x:c>
      <x:c r="F42" s="30" t="str">
        <x:v>Treat as VPG brand, not a separate current manufacturer.</x:v>
      </x:c>
      <x:c r="G42" s="30" t="str">
        <x:v>Consolidated brand</x:v>
      </x:c>
      <x:c r="H42" s="37" t="n">
        <x:v>46227</x:v>
      </x:c>
    </x:row>
    <x:row r="43" ht="45" customHeight="1">
      <x:c r="A43" s="34" t="str">
        <x:v>GALOCE</x:v>
      </x:c>
      <x:c r="B43" s="34" t="str">
        <x:v>China</x:v>
      </x:c>
      <x:c r="C43" s="34" t="str">
        <x:v>Large online load-cell catalog and OEM claims</x:v>
      </x:c>
      <x:c r="D43" s="34" t="str">
        <x:v>Public identity, factory ownership and relationship to other Chinese sensor makers need independent verification.</x:v>
      </x:c>
      <x:c r="E43" s="34" t="str">
        <x:v>https://www.galoce.com/</x:v>
      </x:c>
      <x:c r="F43" s="34" t="str">
        <x:v>Verify business registration, production site and model-level certificates.</x:v>
      </x:c>
      <x:c r="G43" s="34" t="str">
        <x:v>Needs verification</x:v>
      </x:c>
      <x:c r="H43" s="36" t="n">
        <x:v>46227</x:v>
      </x:c>
    </x:row>
    <x:row r="44" ht="45" customHeight="1">
      <x:c r="A44" s="30" t="str">
        <x:v>CZL / various catalog brands</x:v>
      </x:c>
      <x:c r="B44" s="30" t="str">
        <x:v>China</x:v>
      </x:c>
      <x:c r="C44" s="30" t="str">
        <x:v>Common model prefix on many low-cost load cells</x:v>
      </x:c>
      <x:c r="D44" s="30" t="str">
        <x:v>CZL is often a model prefix rather than a uniquely traceable manufacturer; products are sold under many labels.</x:v>
      </x:c>
      <x:c r="E44" s="30" t="str"/>
      <x:c r="F44" s="30" t="str">
        <x:v>Trace each model to a legal manufacturer on the certificate/nameplate.</x:v>
      </x:c>
      <x:c r="G44" s="30" t="str">
        <x:v>Not a reliable manufacturer identity</x:v>
      </x:c>
      <x:c r="H44" s="37" t="n">
        <x:v>46227</x:v>
      </x:c>
    </x:row>
    <x:row r="45" ht="45" customHeight="1">
      <x:c r="A45" s="34" t="str">
        <x:v>HT Sensor Technology</x:v>
      </x:c>
      <x:c r="B45" s="34" t="str">
        <x:v>China</x:v>
      </x:c>
      <x:c r="C45" s="34" t="str">
        <x:v>Force-sensor and load-cell catalog</x:v>
      </x:c>
      <x:c r="D45" s="34" t="str">
        <x:v>Public factory and legal-entity evidence was not independently resolved in this pass.</x:v>
      </x:c>
      <x:c r="E45" s="34" t="str"/>
      <x:c r="F45" s="34" t="str">
        <x:v>Verify legal entity, factory and certifications.</x:v>
      </x:c>
      <x:c r="G45" s="34" t="str">
        <x:v>Needs verification</x:v>
      </x:c>
      <x:c r="H45" s="36" t="n">
        <x:v>46227</x:v>
      </x:c>
    </x:row>
    <x:row r="46" ht="45" customHeight="1">
      <x:c r="A46" s="30" t="str">
        <x:v>Guangce / Guang Ce</x:v>
      </x:c>
      <x:c r="B46" s="30" t="str">
        <x:v>China</x:v>
      </x:c>
      <x:c r="C46" s="30" t="str">
        <x:v>Load-cell catalog and OEM claims</x:v>
      </x:c>
      <x:c r="D46" s="30" t="str">
        <x:v>Multiple transliterations and domains make the legal manufacturer identity ambiguous.</x:v>
      </x:c>
      <x:c r="E46" s="30" t="str"/>
      <x:c r="F46" s="30" t="str">
        <x:v>Resolve Chinese legal name and factory.</x:v>
      </x:c>
      <x:c r="G46" s="30" t="str">
        <x:v>Needs verification</x:v>
      </x:c>
      <x:c r="H46" s="37" t="n">
        <x:v>46227</x:v>
      </x:c>
    </x:row>
    <x:row r="47" ht="45" customHeight="1">
      <x:c r="A47" s="34" t="str">
        <x:v>Precision Load Cell / generic Indian brands</x:v>
      </x:c>
      <x:c r="B47" s="34" t="str">
        <x:v>India</x:v>
      </x:c>
      <x:c r="C47" s="34" t="str">
        <x:v>Multiple suppliers use similar company names</x:v>
      </x:c>
      <x:c r="D47" s="34" t="str">
        <x:v>Generic naming and marketplace listings make manufacturer identity hard to establish.</x:v>
      </x:c>
      <x:c r="E47" s="34" t="str"/>
      <x:c r="F47" s="34" t="str">
        <x:v>Require GST/legal entity, factory address and product certificate.</x:v>
      </x:c>
      <x:c r="G47" s="34" t="str">
        <x:v>Needs legal-entity resolution</x:v>
      </x:c>
      <x:c r="H47" s="36" t="n">
        <x:v>46227</x:v>
      </x:c>
    </x:row>
    <x:row r="48" ht="45" customHeight="1">
      <x:c r="A48" s="30" t="str">
        <x:v>Rinstrum</x:v>
      </x:c>
      <x:c r="B48" s="30" t="str">
        <x:v>Australia</x:v>
      </x:c>
      <x:c r="C48" s="30" t="str">
        <x:v>Weighing indicators and systems</x:v>
      </x:c>
      <x:c r="D48" s="30" t="str">
        <x:v>Rinstrum is an established electronics/instrument manufacturer; own load-cell production was not found.</x:v>
      </x:c>
      <x:c r="E48" s="30" t="str">
        <x:v>https://www.rinstrum.com/</x:v>
      </x:c>
      <x:c r="F48" s="30" t="str">
        <x:v>Exclude unless evidence of sensor manufacture emerges.</x:v>
      </x:c>
      <x:c r="G48" s="30" t="str">
        <x:v>Likely not a load-cell maker</x:v>
      </x:c>
      <x:c r="H48" s="37" t="n">
        <x:v>46227</x:v>
      </x:c>
    </x:row>
    <x:row r="49" ht="45" customHeight="1">
      <x:c r="A49" s="34" t="str">
        <x:v>Kelba</x:v>
      </x:c>
      <x:c r="B49" s="34" t="str">
        <x:v>Australia</x:v>
      </x:c>
      <x:c r="C49" s="34" t="str">
        <x:v>Load-cell and weighing-component catalog</x:v>
      </x:c>
      <x:c r="D49" s="34" t="str">
        <x:v>Public role appears to be distribution and systems supply.</x:v>
      </x:c>
      <x:c r="E49" s="34" t="str">
        <x:v>https://www.kelba.com/</x:v>
      </x:c>
      <x:c r="F49" s="34" t="str">
        <x:v>Confirm any proprietary sensor models separately.</x:v>
      </x:c>
      <x:c r="G49" s="34" t="str">
        <x:v>Likely distributor</x:v>
      </x:c>
      <x:c r="H49" s="36" t="n">
        <x:v>46227</x:v>
      </x:c>
    </x:row>
    <x:row r="50" ht="45" customHeight="1">
      <x:c r="A50" s="30" t="str">
        <x:v>HBM legacy legal entities</x:v>
      </x:c>
      <x:c r="B50" s="30" t="str">
        <x:v>Germany</x:v>
      </x:c>
      <x:c r="C50" s="30" t="str">
        <x:v>Historic certificates and brand references</x:v>
      </x:c>
      <x:c r="D50" s="30" t="str">
        <x:v>Current operating manufacturer is HBK; separate counting would duplicate the same organization.</x:v>
      </x:c>
      <x:c r="E50" s="30" t="str">
        <x:v>https://www.hbkworld.com/</x:v>
      </x:c>
      <x:c r="F50" s="30" t="str">
        <x:v>Consolidate under HBK.</x:v>
      </x:c>
      <x:c r="G50" s="30" t="str">
        <x:v>Brand consolidation</x:v>
      </x:c>
      <x:c r="H50" s="37" t="n">
        <x:v>46227</x:v>
      </x:c>
    </x:row>
    <x:row r="51" ht="45" customHeight="1">
      <x:c r="A51" s="34" t="str">
        <x:v>BLH Nobel</x:v>
      </x:c>
      <x:c r="B51" s="34" t="str">
        <x:v>United States / Sweden</x:v>
      </x:c>
      <x:c r="C51" s="34" t="str">
        <x:v>Industrial load cells and process weighing</x:v>
      </x:c>
      <x:c r="D51" s="34" t="str">
        <x:v>Current ownership and product-line manufacturing are split across VPG/other legacy structures.</x:v>
      </x:c>
      <x:c r="E51" s="34" t="str">
        <x:v>https://www.blhnobel.com/</x:v>
      </x:c>
      <x:c r="F51" s="34" t="str">
        <x:v>Resolve model-level legal manufacturer and parent before counting separately.</x:v>
      </x:c>
      <x:c r="G51" s="34" t="str">
        <x:v>Ownership / model ambiguity</x:v>
      </x:c>
      <x:c r="H51" s="36" t="n">
        <x:v>46227</x:v>
      </x:c>
    </x:row>
    <x:row r="52" ht="45" customHeight="1">
      <x:c r="A52" s="30" t="str">
        <x:v>Nobel Weighing Systems</x:v>
      </x:c>
      <x:c r="B52" s="30" t="str">
        <x:v>Sweden</x:v>
      </x:c>
      <x:c r="C52" s="30" t="str">
        <x:v>Historic industrial weighing and load-cell brand</x:v>
      </x:c>
      <x:c r="D52" s="30" t="str">
        <x:v>Brand lineage overlaps with BLH Nobel/VPG; current independent manufacturing status is unclear.</x:v>
      </x:c>
      <x:c r="E52" s="30" t="str">
        <x:v>https://www.blhnobel.com/</x:v>
      </x:c>
      <x:c r="F52" s="30" t="str">
        <x:v>Consolidate or separate only with current legal-entity proof.</x:v>
      </x:c>
      <x:c r="G52" s="30" t="str">
        <x:v>Legacy / ownership ambiguity</x:v>
      </x:c>
      <x:c r="H52" s="37" t="n">
        <x:v>46227</x:v>
      </x:c>
    </x:row>
    <x:row r="53" ht="45" customHeight="1">
      <x:c r="A53" s="34" t="str">
        <x:v>Schenck Process / Qlar</x:v>
      </x:c>
      <x:c r="B53" s="34" t="str">
        <x:v>Germany</x:v>
      </x:c>
      <x:c r="C53" s="34" t="str">
        <x:v>Industrial weighing and feeder systems with branded load sensors</x:v>
      </x:c>
      <x:c r="D53" s="34" t="str">
        <x:v>System engineering is clear; standalone load-cell manufacture was not established.</x:v>
      </x:c>
      <x:c r="E53" s="34" t="str">
        <x:v>https://www.qlar.com/</x:v>
      </x:c>
      <x:c r="F53" s="34" t="str">
        <x:v>Verify manufacturer on sensor certificates.</x:v>
      </x:c>
      <x:c r="G53" s="34" t="str">
        <x:v>Captive / unclear</x:v>
      </x:c>
      <x:c r="H53" s="36" t="n">
        <x:v>46227</x:v>
      </x:c>
    </x:row>
    <x:row r="54" ht="45" customHeight="1">
      <x:c r="A54" s="30" t="str">
        <x:v>Siemens SIWAREX</x:v>
      </x:c>
      <x:c r="B54" s="30" t="str">
        <x:v>Germany</x:v>
      </x:c>
      <x:c r="C54" s="30" t="str">
        <x:v>Industrial weighing modules and associated load cells</x:v>
      </x:c>
      <x:c r="D54" s="30" t="str">
        <x:v>SIWAREX electronics are Siemens products; associated load cells may be sourced.</x:v>
      </x:c>
      <x:c r="E54" s="30" t="str">
        <x:v>https://www.siemens.com/global/en/products/automation/process-instrumentation/weight-measurement.html</x:v>
      </x:c>
      <x:c r="F54" s="30" t="str">
        <x:v>Identify legal manufacturer for each load-cell model.</x:v>
      </x:c>
      <x:c r="G54" s="30" t="str">
        <x:v>Likely mixed / sourced</x:v>
      </x:c>
      <x:c r="H54" s="37" t="n">
        <x:v>46227</x:v>
      </x:c>
    </x:row>
  </x:sheetData>
  <x:mergeCells>
    <x:mergeCell ref="A1:H1"/>
    <x:mergeCell ref="A2:H2"/>
  </x:mergeCells>
  <x:conditionalFormatting sqref="G5:G54">
    <x:cfRule type="expression" dxfId="2" priority="1">
      <x:formula>ISNUMBER(SEARCH("Likely",G5))</x:formula>
    </x:cfRule>
    <x:cfRule type="expression" dxfId="3" priority="2">
      <x:formula>ISNUMBER(SEARCH("Needs",G5))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188ba2460743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9" hidden="0" customWidth="1"/>
    <x:col min="3" max="3" width="30" hidden="0" customWidth="1"/>
    <x:col min="4" max="4" width="58" hidden="0" customWidth="1"/>
    <x:col min="5" max="5" width="42" hidden="0" customWidth="1"/>
    <x:col min="6" max="6" width="28" hidden="0" customWidth="1"/>
    <x:col min="7" max="7" width="13" hidden="0" customWidth="1"/>
  </x:cols>
  <x:sheetData>
    <x:row r="1" ht="34" customHeight="1">
      <x:c r="A1" s="5" t="str">
        <x:v>Excluded Distributors, Resellers and Non-Sensor Makers</x:v>
      </x:c>
      <x:c r="B1" s="5"/>
      <x:c r="C1" s="5"/>
      <x:c r="D1" s="5"/>
      <x:c r="E1" s="5"/>
      <x:c r="F1" s="5"/>
      <x:c r="G1" s="5"/>
    </x:row>
    <x:row r="2" ht="34" customHeight="1">
      <x:c r="A2" s="13" t="str">
        <x:v>Common false positives removed from the manufacturer list. Some make electronics or weighing systems, but not the force-sensing element itself.</x:v>
      </x:c>
      <x:c r="B2" s="13"/>
      <x:c r="C2" s="13"/>
      <x:c r="D2" s="13"/>
      <x:c r="E2" s="13"/>
      <x:c r="F2" s="13"/>
      <x:c r="G2" s="13"/>
    </x:row>
    <x:row r="4" ht="36" customHeight="1">
      <x:c r="A4" s="22" t="str">
        <x:v>Organization</x:v>
      </x:c>
      <x:c r="B4" s="22" t="str">
        <x:v>Country / market</x:v>
      </x:c>
      <x:c r="C4" s="22" t="str">
        <x:v>Observed role</x:v>
      </x:c>
      <x:c r="D4" s="22" t="str">
        <x:v>Why excluded from manufacturer list</x:v>
      </x:c>
      <x:c r="E4" s="22" t="str">
        <x:v>Source</x:v>
      </x:c>
      <x:c r="F4" s="22" t="str">
        <x:v>Classification</x:v>
      </x:c>
      <x:c r="G4" s="22" t="str">
        <x:v>Checked date</x:v>
      </x:c>
    </x:row>
    <x:row r="5" ht="45" customHeight="1">
      <x:c r="A5" s="34" t="str">
        <x:v>Omega Engineering</x:v>
      </x:c>
      <x:c r="B5" s="34" t="str">
        <x:v>Global</x:v>
      </x:c>
      <x:c r="C5" s="34" t="str">
        <x:v>Catalog reseller / instrumentation supplier</x:v>
      </x:c>
      <x:c r="D5" s="34" t="str">
        <x:v>Sells load cells from multiple sources and under catalog branding; no evidence reviewed of original load-cell mechanical/sensing-element manufacture.</x:v>
      </x:c>
      <x:c r="E5" s="34" t="str">
        <x:v>https://www.omega.com/en-us/force-strain-measurement/load-cells</x:v>
      </x:c>
      <x:c r="F5" s="40" t="str">
        <x:v>Distributor / private-label risk</x:v>
      </x:c>
      <x:c r="G5" s="36" t="n">
        <x:v>46227</x:v>
      </x:c>
    </x:row>
    <x:row r="6" ht="45" customHeight="1">
      <x:c r="A6" s="30" t="str">
        <x:v>Interface Force Measurements Ltd</x:v>
      </x:c>
      <x:c r="B6" s="30" t="str">
        <x:v>United Kingdom</x:v>
      </x:c>
      <x:c r="C6" s="30" t="str">
        <x:v>Distributor and systems supplier</x:v>
      </x:c>
      <x:c r="D6" s="30" t="str">
        <x:v>Despite the name, it represents Interface and other brands; it is not the US sensor manufacturer Interface, Inc.</x:v>
      </x:c>
      <x:c r="E6" s="30" t="str">
        <x:v>https://www.interfaceforce.co.uk/</x:v>
      </x:c>
      <x:c r="F6" s="40" t="str">
        <x:v>Distributor</x:v>
      </x:c>
      <x:c r="G6" s="37" t="n">
        <x:v>46227</x:v>
      </x:c>
    </x:row>
    <x:row r="7" ht="45" customHeight="1">
      <x:c r="A7" s="34" t="str">
        <x:v>Sensor Techniques Ltd / loadcells.com</x:v>
      </x:c>
      <x:c r="B7" s="34" t="str">
        <x:v>United Kingdom</x:v>
      </x:c>
      <x:c r="C7" s="34" t="str">
        <x:v>Supplier / distributor</x:v>
      </x:c>
      <x:c r="D7" s="34" t="str">
        <x:v>Public positioning emphasizes supply of multiple load-cell and instrumentation brands.</x:v>
      </x:c>
      <x:c r="E7" s="34" t="str">
        <x:v>https://www.loadcells.com/</x:v>
      </x:c>
      <x:c r="F7" s="40" t="str">
        <x:v>Distributor</x:v>
      </x:c>
      <x:c r="G7" s="36" t="n">
        <x:v>46227</x:v>
      </x:c>
    </x:row>
    <x:row r="8" ht="45" customHeight="1">
      <x:c r="A8" s="30" t="str">
        <x:v>Variohm Holdings</x:v>
      </x:c>
      <x:c r="B8" s="30" t="str">
        <x:v>United Kingdom</x:v>
      </x:c>
      <x:c r="C8" s="30" t="str">
        <x:v>Sensor distributor</x:v>
      </x:c>
      <x:c r="D8" s="30" t="str">
        <x:v>Represents several sensor makers; no clear evidence of in-house load-cell production.</x:v>
      </x:c>
      <x:c r="E8" s="30" t="str">
        <x:v>https://www.variohm.com/</x:v>
      </x:c>
      <x:c r="F8" s="40" t="str">
        <x:v>Distributor</x:v>
      </x:c>
      <x:c r="G8" s="37" t="n">
        <x:v>46227</x:v>
      </x:c>
    </x:row>
    <x:row r="9" ht="45" customHeight="1">
      <x:c r="A9" s="34" t="str">
        <x:v>Phidgets</x:v>
      </x:c>
      <x:c r="B9" s="34" t="str">
        <x:v>Canada</x:v>
      </x:c>
      <x:c r="C9" s="34" t="str">
        <x:v>Electronics platform and component seller</x:v>
      </x:c>
      <x:c r="D9" s="34" t="str">
        <x:v>Sells load cells and interfaces sourced from third parties.</x:v>
      </x:c>
      <x:c r="E9" s="34" t="str">
        <x:v>https://www.phidgets.com/</x:v>
      </x:c>
      <x:c r="F9" s="40" t="str">
        <x:v>Reseller</x:v>
      </x:c>
      <x:c r="G9" s="36" t="n">
        <x:v>46227</x:v>
      </x:c>
    </x:row>
    <x:row r="10" ht="45" customHeight="1">
      <x:c r="A10" s="30" t="str">
        <x:v>SparkFun Electronics</x:v>
      </x:c>
      <x:c r="B10" s="30" t="str">
        <x:v>United States</x:v>
      </x:c>
      <x:c r="C10" s="30" t="str">
        <x:v>Electronics retailer</x:v>
      </x:c>
      <x:c r="D10" s="30" t="str">
        <x:v>Sells commodity load cells sourced from other manufacturers.</x:v>
      </x:c>
      <x:c r="E10" s="30" t="str">
        <x:v>https://www.sparkfun.com/</x:v>
      </x:c>
      <x:c r="F10" s="40" t="str">
        <x:v>Reseller</x:v>
      </x:c>
      <x:c r="G10" s="37" t="n">
        <x:v>46227</x:v>
      </x:c>
    </x:row>
    <x:row r="11" ht="45" customHeight="1">
      <x:c r="A11" s="34" t="str">
        <x:v>Adafruit Industries</x:v>
      </x:c>
      <x:c r="B11" s="34" t="str">
        <x:v>United States</x:v>
      </x:c>
      <x:c r="C11" s="34" t="str">
        <x:v>Electronics retailer</x:v>
      </x:c>
      <x:c r="D11" s="34" t="str">
        <x:v>Sells force-sensitive resistors and interfaces sourced from other manufacturers.</x:v>
      </x:c>
      <x:c r="E11" s="34" t="str">
        <x:v>https://www.adafruit.com/</x:v>
      </x:c>
      <x:c r="F11" s="40" t="str">
        <x:v>Reseller</x:v>
      </x:c>
      <x:c r="G11" s="36" t="n">
        <x:v>46227</x:v>
      </x:c>
    </x:row>
    <x:row r="12" ht="45" customHeight="1">
      <x:c r="A12" s="30" t="str">
        <x:v>Digi-Key</x:v>
      </x:c>
      <x:c r="B12" s="30" t="str">
        <x:v>United States / global</x:v>
      </x:c>
      <x:c r="C12" s="30" t="str">
        <x:v>Electronics distributor</x:v>
      </x:c>
      <x:c r="D12" s="30" t="str">
        <x:v>Authorized distributor of sensors made by other firms.</x:v>
      </x:c>
      <x:c r="E12" s="30" t="str">
        <x:v>https://www.digikey.com/</x:v>
      </x:c>
      <x:c r="F12" s="40" t="str">
        <x:v>Distributor</x:v>
      </x:c>
      <x:c r="G12" s="37" t="n">
        <x:v>46227</x:v>
      </x:c>
    </x:row>
    <x:row r="13" ht="45" customHeight="1">
      <x:c r="A13" s="34" t="str">
        <x:v>Mouser Electronics</x:v>
      </x:c>
      <x:c r="B13" s="34" t="str">
        <x:v>United States / global</x:v>
      </x:c>
      <x:c r="C13" s="34" t="str">
        <x:v>Electronics distributor</x:v>
      </x:c>
      <x:c r="D13" s="34" t="str">
        <x:v>Authorized distributor of sensors made by other firms.</x:v>
      </x:c>
      <x:c r="E13" s="34" t="str">
        <x:v>https://www.mouser.com/</x:v>
      </x:c>
      <x:c r="F13" s="40" t="str">
        <x:v>Distributor</x:v>
      </x:c>
      <x:c r="G13" s="36" t="n">
        <x:v>46227</x:v>
      </x:c>
    </x:row>
    <x:row r="14" ht="45" customHeight="1">
      <x:c r="A14" s="30" t="str">
        <x:v>RS Group / RS Components</x:v>
      </x:c>
      <x:c r="B14" s="30" t="str">
        <x:v>United Kingdom / global</x:v>
      </x:c>
      <x:c r="C14" s="30" t="str">
        <x:v>Industrial distributor</x:v>
      </x:c>
      <x:c r="D14" s="30" t="str">
        <x:v>Catalogs load cells from multiple manufacturers.</x:v>
      </x:c>
      <x:c r="E14" s="30" t="str">
        <x:v>https://www.rs-online.com/</x:v>
      </x:c>
      <x:c r="F14" s="40" t="str">
        <x:v>Distributor</x:v>
      </x:c>
      <x:c r="G14" s="37" t="n">
        <x:v>46227</x:v>
      </x:c>
    </x:row>
    <x:row r="15" ht="45" customHeight="1">
      <x:c r="A15" s="34" t="str">
        <x:v>Cole-Parmer</x:v>
      </x:c>
      <x:c r="B15" s="34" t="str">
        <x:v>United States / global</x:v>
      </x:c>
      <x:c r="C15" s="34" t="str">
        <x:v>Laboratory and industrial distributor</x:v>
      </x:c>
      <x:c r="D15" s="34" t="str">
        <x:v>Sells load and force equipment from third parties.</x:v>
      </x:c>
      <x:c r="E15" s="34" t="str">
        <x:v>https://www.coleparmer.com/</x:v>
      </x:c>
      <x:c r="F15" s="40" t="str">
        <x:v>Distributor</x:v>
      </x:c>
      <x:c r="G15" s="36" t="n">
        <x:v>46227</x:v>
      </x:c>
    </x:row>
    <x:row r="16" ht="45" customHeight="1">
      <x:c r="A16" s="30" t="str">
        <x:v>Bosche Wägetechnik</x:v>
      </x:c>
      <x:c r="B16" s="30" t="str">
        <x:v>Germany</x:v>
      </x:c>
      <x:c r="C16" s="30" t="str">
        <x:v>Weighing supplier / wholesaler</x:v>
      </x:c>
      <x:c r="D16" s="30" t="str">
        <x:v>Public material emphasizes wholesaling and system supply rather than original sensor development.</x:v>
      </x:c>
      <x:c r="E16" s="30" t="str">
        <x:v>https://www.bosche.eu/</x:v>
      </x:c>
      <x:c r="F16" s="40" t="str">
        <x:v>Wholesaler / distributor</x:v>
      </x:c>
      <x:c r="G16" s="37" t="n">
        <x:v>46227</x:v>
      </x:c>
    </x:row>
    <x:row r="17" ht="45" customHeight="1">
      <x:c r="A17" s="34" t="str">
        <x:v>ATO.com</x:v>
      </x:c>
      <x:c r="B17" s="34" t="str">
        <x:v>Global online market</x:v>
      </x:c>
      <x:c r="C17" s="34" t="str">
        <x:v>Online catalog brand / reseller</x:v>
      </x:c>
      <x:c r="D17" s="34" t="str">
        <x:v>Offers broad commodity load-cell ranges without transparent legal manufacturer or factory identity.</x:v>
      </x:c>
      <x:c r="E17" s="34" t="str">
        <x:v>https://www.ato.com/load-cell</x:v>
      </x:c>
      <x:c r="F17" s="40" t="str">
        <x:v>Reseller / private-label risk</x:v>
      </x:c>
      <x:c r="G17" s="36" t="n">
        <x:v>46227</x:v>
      </x:c>
    </x:row>
    <x:row r="18" ht="45" customHeight="1">
      <x:c r="A18" s="30" t="str">
        <x:v>Acuity Process Solutions</x:v>
      </x:c>
      <x:c r="B18" s="30" t="str">
        <x:v>United Kingdom</x:v>
      </x:c>
      <x:c r="C18" s="30" t="str">
        <x:v>Process-weighing distributor/integrator</x:v>
      </x:c>
      <x:c r="D18" s="30" t="str">
        <x:v>Represents other load-cell and weighing brands.</x:v>
      </x:c>
      <x:c r="E18" s="30" t="str">
        <x:v>https://www.acuityprocess.com/</x:v>
      </x:c>
      <x:c r="F18" s="40" t="str">
        <x:v>Distributor / integrator</x:v>
      </x:c>
      <x:c r="G18" s="37" t="n">
        <x:v>46227</x:v>
      </x:c>
    </x:row>
    <x:row r="19" ht="45" customHeight="1">
      <x:c r="A19" s="34" t="str">
        <x:v>Durham Instruments</x:v>
      </x:c>
      <x:c r="B19" s="34" t="str">
        <x:v>Canada</x:v>
      </x:c>
      <x:c r="C19" s="34" t="str">
        <x:v>Test-and-measurement distributor</x:v>
      </x:c>
      <x:c r="D19" s="34" t="str">
        <x:v>Represents force-sensor manufacturers and does not present itself as the sensor maker.</x:v>
      </x:c>
      <x:c r="E19" s="34" t="str">
        <x:v>https://disensors.com/</x:v>
      </x:c>
      <x:c r="F19" s="40" t="str">
        <x:v>Distributor</x:v>
      </x:c>
      <x:c r="G19" s="36" t="n">
        <x:v>46227</x:v>
      </x:c>
    </x:row>
    <x:row r="20" ht="45" customHeight="1">
      <x:c r="A20" s="30" t="str">
        <x:v>Central Carolina Scale</x:v>
      </x:c>
      <x:c r="B20" s="30" t="str">
        <x:v>United States</x:v>
      </x:c>
      <x:c r="C20" s="30" t="str">
        <x:v>Scale dealer and service company</x:v>
      </x:c>
      <x:c r="D20" s="30" t="str">
        <x:v>Sells load cells from multiple manufacturers.</x:v>
      </x:c>
      <x:c r="E20" s="30" t="str">
        <x:v>https://www.centralcarolinascale.com/</x:v>
      </x:c>
      <x:c r="F20" s="40" t="str">
        <x:v>Dealer / distributor</x:v>
      </x:c>
      <x:c r="G20" s="37" t="n">
        <x:v>46227</x:v>
      </x:c>
    </x:row>
    <x:row r="21" ht="45" customHeight="1">
      <x:c r="A21" s="34" t="str">
        <x:v>Cublift</x:v>
      </x:c>
      <x:c r="B21" s="34" t="str">
        <x:v>China / global online market</x:v>
      </x:c>
      <x:c r="C21" s="34" t="str">
        <x:v>Lifting-equipment seller</x:v>
      </x:c>
      <x:c r="D21" s="34" t="str">
        <x:v>Sells branded or sourced load cells/load links; original sensor development is not established.</x:v>
      </x:c>
      <x:c r="E21" s="34" t="str">
        <x:v>https://www.cublift.com/</x:v>
      </x:c>
      <x:c r="F21" s="40" t="str">
        <x:v>Reseller / integrator</x:v>
      </x:c>
      <x:c r="G21" s="36" t="n">
        <x:v>46227</x:v>
      </x:c>
    </x:row>
    <x:row r="22" ht="45" customHeight="1">
      <x:c r="A22" s="30" t="str">
        <x:v>Mantracourt Electronics</x:v>
      </x:c>
      <x:c r="B22" s="30" t="str">
        <x:v>United Kingdom</x:v>
      </x:c>
      <x:c r="C22" s="30" t="str">
        <x:v>Load-cell electronics manufacturer</x:v>
      </x:c>
      <x:c r="D22" s="30" t="str">
        <x:v>Develops telemetry, amplifiers and instrumentation, but not the mechanical load cells themselves.</x:v>
      </x:c>
      <x:c r="E22" s="30" t="str">
        <x:v>https://www.mantracourt.com/</x:v>
      </x:c>
      <x:c r="F22" s="40" t="str">
        <x:v>Instrumentation maker, not load-cell maker</x:v>
      </x:c>
      <x:c r="G22" s="37" t="n">
        <x:v>46227</x:v>
      </x:c>
    </x:row>
    <x:row r="23" ht="45" customHeight="1">
      <x:c r="A23" s="34" t="str">
        <x:v>Rinstrum</x:v>
      </x:c>
      <x:c r="B23" s="34" t="str">
        <x:v>Australia</x:v>
      </x:c>
      <x:c r="C23" s="34" t="str">
        <x:v>Weighing electronics manufacturer</x:v>
      </x:c>
      <x:c r="D23" s="34" t="str">
        <x:v>Develops indicators and controllers; no confirmed original load-cell production in this review.</x:v>
      </x:c>
      <x:c r="E23" s="34" t="str">
        <x:v>https://www.rinstrum.com/</x:v>
      </x:c>
      <x:c r="F23" s="40" t="str">
        <x:v>Instrumentation maker</x:v>
      </x:c>
      <x:c r="G23" s="36" t="n">
        <x:v>46227</x:v>
      </x:c>
    </x:row>
    <x:row r="24" ht="45" customHeight="1">
      <x:c r="A24" s="30" t="str">
        <x:v>Laurel Electronics</x:v>
      </x:c>
      <x:c r="B24" s="30" t="str">
        <x:v>United States</x:v>
      </x:c>
      <x:c r="C24" s="30" t="str">
        <x:v>Instrumentation manufacturer</x:v>
      </x:c>
      <x:c r="D24" s="30" t="str">
        <x:v>Develops load-cell meters and transmitters, not the force transducers.</x:v>
      </x:c>
      <x:c r="E24" s="30" t="str">
        <x:v>https://www.laurels.com/</x:v>
      </x:c>
      <x:c r="F24" s="40" t="str">
        <x:v>Instrumentation maker</x:v>
      </x:c>
      <x:c r="G24" s="37" t="n">
        <x:v>46227</x:v>
      </x:c>
    </x:row>
    <x:row r="25" ht="45" customHeight="1">
      <x:c r="A25" s="34" t="str">
        <x:v>Futek distributors / regional agents</x:v>
      </x:c>
      <x:c r="B25" s="34" t="str">
        <x:v>Global</x:v>
      </x:c>
      <x:c r="C25" s="34" t="str">
        <x:v>Authorized sales channels</x:v>
      </x:c>
      <x:c r="D25" s="34" t="str">
        <x:v>They sell FUTEK products but do not replace FUTEK as the manufacturer.</x:v>
      </x:c>
      <x:c r="E25" s="34" t="str">
        <x:v>https://www.futek.com/</x:v>
      </x:c>
      <x:c r="F25" s="40" t="str">
        <x:v>Distributor records consolidated to maker</x:v>
      </x:c>
      <x:c r="G25" s="36" t="n">
        <x:v>46227</x:v>
      </x:c>
    </x:row>
    <x:row r="26" ht="45" customHeight="1">
      <x:c r="A26" s="30" t="str">
        <x:v>HBK distributors / calibration partners</x:v>
      </x:c>
      <x:c r="B26" s="30" t="str">
        <x:v>Global</x:v>
      </x:c>
      <x:c r="C26" s="30" t="str">
        <x:v>Authorized sales/service channels</x:v>
      </x:c>
      <x:c r="D26" s="30" t="str">
        <x:v>They distribute or calibrate HBK sensors but do not develop the transducers.</x:v>
      </x:c>
      <x:c r="E26" s="30" t="str">
        <x:v>https://www.hbkworld.com/</x:v>
      </x:c>
      <x:c r="F26" s="40" t="str">
        <x:v>Distributor records consolidated to maker</x:v>
      </x:c>
      <x:c r="G26" s="37" t="n">
        <x:v>46227</x:v>
      </x:c>
    </x:row>
    <x:row r="27" ht="45" customHeight="1">
      <x:c r="A27" s="34" t="str">
        <x:v>VPG distributors</x:v>
      </x:c>
      <x:c r="B27" s="34" t="str">
        <x:v>Global</x:v>
      </x:c>
      <x:c r="C27" s="34" t="str">
        <x:v>Authorized sales channels</x:v>
      </x:c>
      <x:c r="D27" s="34" t="str">
        <x:v>They sell VPG-brand cells but are not the legal sensor manufacturer.</x:v>
      </x:c>
      <x:c r="E27" s="34" t="str">
        <x:v>https://vpgforcesensors.com/</x:v>
      </x:c>
      <x:c r="F27" s="40" t="str">
        <x:v>Distributor records consolidated to maker</x:v>
      </x:c>
      <x:c r="G27" s="36" t="n">
        <x:v>46227</x:v>
      </x:c>
    </x:row>
    <x:row r="28" ht="45" customHeight="1">
      <x:c r="A28" s="30" t="str">
        <x:v>Generic Amazon/eBay/AliExpress brands</x:v>
      </x:c>
      <x:c r="B28" s="30" t="str">
        <x:v>Global online market</x:v>
      </x:c>
      <x:c r="C28" s="30" t="str">
        <x:v>Marketplace sellers / private labels</x:v>
      </x:c>
      <x:c r="D28" s="30" t="str">
        <x:v>Brand and factory identity are usually untraceable; identical models often appear under many labels.</x:v>
      </x:c>
      <x:c r="E28" s="30" t="str"/>
      <x:c r="F28" s="40" t="str">
        <x:v>Private-label / untraceable</x:v>
      </x:c>
      <x:c r="G28" s="37" t="n">
        <x:v>46227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8972735490041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92" hidden="0" customWidth="1"/>
  </x:cols>
  <x:sheetData>
    <x:row r="1" ht="34" customHeight="1">
      <x:c r="A1" s="5" t="str">
        <x:v>Methodology, Scope and Limits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This workbook aims to be exhaustive among publicly identifiable, active manufacturers—not among undisclosed contract factories or captive internal sensor programs.</x:v>
      </x:c>
      <x:c r="B2" s="13"/>
      <x:c r="C2" s="13"/>
      <x:c r="D2" s="13"/>
      <x:c r="E2" s="13"/>
      <x:c r="F2" s="13"/>
      <x:c r="G2" s="13"/>
      <x:c r="H2" s="13"/>
    </x:row>
    <x:row r="4" ht="24" customHeight="1">
      <x:c r="A4" s="44" t="str">
        <x:v>Item</x:v>
      </x:c>
      <x:c r="B4" s="44" t="str">
        <x:v>Rule used</x:v>
      </x:c>
    </x:row>
    <x:row r="5" ht="48" customHeight="1">
      <x:c r="A5" s="54" t="str">
        <x:v>Definition of a load cell</x:v>
      </x:c>
      <x:c r="B5" s="54" t="str">
        <x:v>A transducer that produces an output proportional to an applied load/force. The scope follows the broad OIML R 60 concept and includes weighing load cells, test force transducers, load pins/links and multi-axis force/torque sensors.</x:v>
      </x:c>
    </x:row>
    <x:row r="6" ht="48" customHeight="1">
      <x:c r="A6" s="50" t="str">
        <x:v>Included</x:v>
      </x:c>
      <x:c r="B6" s="50" t="str">
        <x:v>Organizations with public evidence that they design/develop and manufacture the force-sensing transducer or sensing element. Both strain-gauge and non-strain-gauge technologies are included.</x:v>
      </x:c>
    </x:row>
    <x:row r="7" ht="48" customHeight="1">
      <x:c r="A7" s="54" t="str">
        <x:v>Excluded</x:v>
      </x:c>
      <x:c r="B7" s="54" t="str">
        <x:v>Distributors, dealers, systems integrators, electronics-only makers, calibration labs and private-label sellers without evidence of original sensor development/manufacture.</x:v>
      </x:c>
    </x:row>
    <x:row r="8" ht="48" customHeight="1">
      <x:c r="A8" s="50" t="str">
        <x:v>Parent/brand rule</x:v>
      </x:c>
      <x:c r="B8" s="50" t="str">
        <x:v>Brands under a common engineering and manufacturing group are consolidated to avoid double counting. An independently operating manufacturing subsidiary may remain a separate row, with its parent shown.</x:v>
      </x:c>
    </x:row>
    <x:row r="9" ht="48" customHeight="1">
      <x:c r="A9" s="54" t="str">
        <x:v>Evidence grade A</x:v>
      </x:c>
      <x:c r="B9" s="54" t="str">
        <x:v>A first-party source explicitly says the company designs, develops, produces or manufactures force/load sensors, or shows proprietary in-house technology and manufacturing.</x:v>
      </x:c>
    </x:row>
    <x:row r="10" ht="48" customHeight="1">
      <x:c r="A10" s="50" t="str">
        <x:v>Evidence grade B</x:v>
      </x:c>
      <x:c r="B10" s="50" t="str">
        <x:v>A legal-metrology certificate or other strong first-party evidence identifies the organization as manufacturer, but the public wording is less explicit or may vary by model.</x:v>
      </x:c>
    </x:row>
    <x:row r="11" ht="48" customHeight="1">
      <x:c r="A11" s="54" t="str">
        <x:v>Needs Verification sheet</x:v>
      </x:c>
      <x:c r="B11" s="54" t="str">
        <x:v>Organizations with plausible manufacturing activity but unresolved model origin, captive-use status, contract manufacture, legal entity, current status or parent-brand duplication.</x:v>
      </x:c>
    </x:row>
    <x:row r="12" ht="48" customHeight="1">
      <x:c r="A12" s="50" t="str">
        <x:v>Geographic rule</x:v>
      </x:c>
      <x:c r="B12" s="50" t="str">
        <x:v>HQ country reflects the operating manufacturer's headquarters, not every factory. Global groups can manufacture in several countries.</x:v>
      </x:c>
    </x:row>
    <x:row r="13" ht="48" customHeight="1">
      <x:c r="A13" s="54" t="str">
        <x:v>Product scope</x:v>
      </x:c>
      <x:c r="B13" s="54" t="str">
        <x:v>Torque-only and pressure-only firms are excluded. Multi-axis force/torque makers are included because their transducers directly resolve applied force components.</x:v>
      </x:c>
    </x:row>
    <x:row r="14" ht="48" customHeight="1">
      <x:c r="A14" s="50" t="str">
        <x:v>Current-status date</x:v>
      </x:c>
      <x:c r="B14" s="50" t="str">
        <x:v>Evidence and corporate status were checked as of 2026-07-24. Acquisitions, plant closures and product transfers can make the directory stale.</x:v>
      </x:c>
    </x:row>
    <x:row r="15" ht="48" customHeight="1">
      <x:c r="A15" s="54" t="str">
        <x:v>Why literal completeness is impossible</x:v>
      </x:c>
      <x:c r="B15" s="54" t="str">
        <x:v>Private contract manufacturers, defense-only suppliers, captive sensor shops and firms without an accessible web presence may not be publicly discoverable. Model-level private labeling can also remain confidential.</x:v>
      </x:c>
    </x:row>
    <x:row r="16" ht="48" customHeight="1">
      <x:c r="A16" s="50" t="str">
        <x:v>How to audit a new candidate</x:v>
      </x:c>
      <x:c r="B16" s="50" t="str">
        <x:v>Require at least one of: explicit first-party manufacturing statement; factory/process evidence; OIML/NTEP certificate naming the legal manufacturer; patent/design ownership plus manufacturing evidence; or an ISO scope naming force-transducer production.</x:v>
      </x:c>
    </x:row>
    <x:row r="17" ht="48" customHeight="1">
      <x:c r="A17" s="54" t="str">
        <x:v>Primary standards / registries</x:v>
      </x:c>
      <x:c r="B17" s="54" t="str">
        <x:v>OIML R 60 and the OIML-CS certificate database; NCWM NTEP certificate database; first-party corporate and product pages.</x:v>
      </x:c>
    </x:row>
    <x:row r="18" ht="48" customHeight="1">
      <x:c r="A18" s="50" t="str">
        <x:v>OIML source</x:v>
      </x:c>
      <x:c r="B18" s="50" t="str">
        <x:v>https://www.oiml.org/en/files/pdf_r/r060-e00.pdf</x:v>
      </x:c>
    </x:row>
    <x:row r="19" ht="48" customHeight="1">
      <x:c r="A19" s="54" t="str">
        <x:v>OIML-CS certificate search</x:v>
      </x:c>
      <x:c r="B19" s="54" t="str">
        <x:v>https://www.oiml.org/en/oiml-cs/certificate-search</x:v>
      </x:c>
    </x:row>
    <x:row r="20" ht="48" customHeight="1">
      <x:c r="A20" s="50" t="str">
        <x:v>NCWM NTEP certificates</x:v>
      </x:c>
      <x:c r="B20" s="50" t="str">
        <x:v>https://www.ncwm.com/ntep-certificates</x:v>
      </x:c>
    </x:row>
  </x:sheetData>
  <x:mergeCells>
    <x:mergeCell ref="A1:H1"/>
    <x:mergeCell ref="A2:H2"/>
  </x:mergeCells>
  <x:pageMargins left="0.7" right="0.7" top="0.75" bottom="0.75" header="0.3" footer="0.3"/>
</x:worksheet>
</file>